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2123852ed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063208806dd404d"/>
    <x:sheet xmlns:r="http://schemas.openxmlformats.org/officeDocument/2006/relationships" name="Ambientes" sheetId="2" r:id="Rb6ed691c03cd4412"/>
    <x:sheet xmlns:r="http://schemas.openxmlformats.org/officeDocument/2006/relationships" name="Licencias" sheetId="3" r:id="Rcb02b35ed5874e47"/>
    <x:sheet xmlns:r="http://schemas.openxmlformats.org/officeDocument/2006/relationships" name="Servicios" sheetId="4" r:id="R9192563ffbde4e29"/>
    <x:sheet xmlns:r="http://schemas.openxmlformats.org/officeDocument/2006/relationships" name="Capacidad" sheetId="5" r:id="R7957573031cc464a"/>
    <x:sheet xmlns:r="http://schemas.openxmlformats.org/officeDocument/2006/relationships" name="Supuestos" sheetId="6" r:id="R7440c2f33da8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(#,##0.00);&quot;–&quot;"/>
    <x:numFmt numFmtId="201" formatCode="0.0000"/>
    <x:numFmt numFmtId="202" formatCode="0"/>
    <x:numFmt numFmtId="203" formatCode="#,##0"/>
    <x:numFmt numFmtId="204" formatCode="0.0%"/>
    <x:numFmt numFmtId="205" formatCode="#,##0.00"/>
    <x:numFmt numFmtId="206" formatCode="&quot;S/ &quot;#,##0;(&quot;S/ &quot;#,##0);&quot;–&quot;"/>
    <x:numFmt numFmtId="207" formatCode="&quot;US$ &quot;#,##0.00"/>
    <x:numFmt numFmtId="208" formatCode="0.00"/>
  </x:numFmts>
  <x:fonts count="12">
    <x:font>
      <x:sz val="11"/>
      <x:name val="Carlito"/>
    </x:font>
    <x:font>
      <x:sz val="11"/>
      <x:color rgb="FF17324D"/>
      <x:name val="Arial"/>
    </x:font>
    <x:font>
      <x:b/>
      <x:sz val="17"/>
      <x:color rgb="FF17324D"/>
      <x:name val="Arial"/>
    </x:font>
    <x:font>
      <x:sz val="11"/>
      <x:color rgb="FF008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9"/>
      <x:color rgb="FF235E91"/>
      <x:name val="Arial"/>
    </x:font>
    <x:font>
      <x:sz val="10"/>
      <x:color rgb="FF546578"/>
      <x:name val="Arial"/>
    </x:font>
    <x:font>
      <x:sz val="11"/>
      <x:color rgb="FF000000"/>
      <x:name val="Arial"/>
    </x:font>
    <x:font>
      <x:b/>
      <x:sz val="11"/>
      <x:color rgb="FF17324D"/>
      <x:name val="Arial"/>
    </x:font>
    <x:font>
      <x:b/>
      <x:sz val="11"/>
      <x:color rgb="FF000000"/>
      <x:name val="Arial"/>
    </x:font>
    <x:font>
      <x:b/>
      <x:sz val="11"/>
      <x:color rgb="FF0080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3F8"/>
      </x:patternFill>
    </x:fill>
  </x:fills>
  <x:borders count="2">
    <x:border/>
    <x:border>
      <x:top style="thin">
        <x:color rgb="FF17324D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4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10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4" borderId="1" xfId="0" applyNumberFormat="1" applyFont="1" applyFill="1" applyBorder="1"/>
    <x:xf numFmtId="200" fontId="3" fillId="0" borderId="0" xfId="0" applyNumberFormat="1" applyFont="1" applyFill="1" applyBorder="1"/>
    <x:xf numFmtId="200" fontId="8" fillId="0" borderId="0" xfId="0" applyNumberFormat="1" applyFont="1" applyFill="1" applyBorder="1"/>
    <x:xf numFmtId="200" fontId="10" fillId="4" borderId="1" xfId="0" applyNumberFormat="1" applyFont="1" applyFill="1" applyBorder="1"/>
    <x:xf numFmtId="200" fontId="1" fillId="0" borderId="0" xfId="0" applyNumberFormat="1" applyFont="1" applyFill="1" applyBorder="1"/>
    <x:xf numFmtId="200" fontId="9" fillId="4" borderId="1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200" fontId="11" fillId="4" borderId="1" xfId="0" applyNumberFormat="1" applyFont="1" applyFill="1" applyBorder="1"/>
    <x:xf numFmtId="203" fontId="3" fillId="0" borderId="0" xfId="0" applyNumberFormat="1" applyFont="1" applyFill="1" applyBorder="1"/>
    <x:xf numFmtId="205" fontId="3" fillId="0" borderId="0" xfId="0" applyNumberFormat="1" applyFont="1" applyFill="1" applyBorder="1"/>
    <x:xf numFmtId="206" fontId="1" fillId="0" borderId="0" xfId="0" applyNumberFormat="1" applyFont="1" applyFill="1" applyBorder="1"/>
    <x:xf numFmtId="206" fontId="3" fillId="0" borderId="0" xfId="0" applyNumberFormat="1" applyFont="1" applyFill="1" applyBorder="1"/>
    <x:xf numFmtId="206" fontId="9" fillId="4" borderId="1" xfId="0" applyNumberFormat="1" applyFont="1" applyFill="1" applyBorder="1"/>
    <x:xf numFmtId="206" fontId="10" fillId="4" borderId="1" xfId="0" applyNumberFormat="1" applyFont="1" applyFill="1" applyBorder="1"/>
    <x:xf numFmtId="207" fontId="3" fillId="0" borderId="0" xfId="0" applyNumberFormat="1" applyFont="1" applyFill="1" applyBorder="1"/>
    <x:xf numFmtId="208" fontId="3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835c39b414cc5" /><Relationship Type="http://schemas.openxmlformats.org/officeDocument/2006/relationships/theme" Target="/xl/theme/theme1.xml" Id="R971be77dc6264d45" /><Relationship Type="http://schemas.openxmlformats.org/officeDocument/2006/relationships/sharedStrings" Target="/xl/sharedStrings.xml" Id="R523b5ec20ef4406d" /><Relationship Type="http://schemas.openxmlformats.org/officeDocument/2006/relationships/worksheet" Target="/xl/worksheets/sheet1.xml" Id="Rd063208806dd404d" /><Relationship Type="http://schemas.openxmlformats.org/officeDocument/2006/relationships/worksheet" Target="/xl/worksheets/sheet2.xml" Id="Rb6ed691c03cd4412" /><Relationship Type="http://schemas.openxmlformats.org/officeDocument/2006/relationships/worksheet" Target="/xl/worksheets/sheet3.xml" Id="Rcb02b35ed5874e47" /><Relationship Type="http://schemas.openxmlformats.org/officeDocument/2006/relationships/worksheet" Target="/xl/worksheets/sheet4.xml" Id="R9192563ffbde4e29" /><Relationship Type="http://schemas.openxmlformats.org/officeDocument/2006/relationships/worksheet" Target="/xl/worksheets/sheet5.xml" Id="R7957573031cc464a" /><Relationship Type="http://schemas.openxmlformats.org/officeDocument/2006/relationships/worksheet" Target="/xl/worksheets/sheet6.xml" Id="R7440c2f33da8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Landscape TSI · presupuesto del release 1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"/>
      <x:c r="B5" s="1"/>
      <x:c r="C5" s="6" t="str">
        <x:v>Concepto</x:v>
      </x:c>
      <x:c r="D5" s="6" t="str">
        <x:v>PEN/mes</x:v>
      </x:c>
      <x:c r="E5" s="6" t="str">
        <x:v>PEN año 1</x:v>
      </x:c>
      <x:c r="F5" s="1"/>
      <x:c r="G5" s="1"/>
      <x:c r="H5" s="1"/>
      <x:c r="I5" s="1"/>
      <x:c r="J5" s="1"/>
    </x:row>
    <x:row r="6" ht="25" customHeight="1">
      <x:c r="A6" s="1"/>
      <x:c r="B6" s="1"/>
      <x:c r="C6" s="1" t="str">
        <x:v>Implementación y contingencia</x:v>
      </x:c>
      <x:c r="D6" s="38"/>
      <x:c r="E6" s="38" t="n">
        <x:f>'Servicios'!F15</x:f>
        <x:v>28800</x:v>
      </x:c>
      <x:c r="F6" s="1"/>
      <x:c r="G6" s="1"/>
      <x:c r="H6" s="1"/>
      <x:c r="I6" s="1"/>
      <x:c r="J6" s="1"/>
    </x:row>
    <x:row r="7" ht="25" customHeight="1">
      <x:c r="A7" s="1"/>
      <x:c r="B7" s="1"/>
      <x:c r="C7" s="1" t="str">
        <x:v>Azure PROD + DEV + recuperación</x:v>
      </x:c>
      <x:c r="D7" s="38" t="n">
        <x:f>'Ambientes'!G16</x:f>
        <x:v>646</x:v>
      </x:c>
      <x:c r="E7" s="38" t="n">
        <x:f>'Ambientes'!H16</x:f>
        <x:v>7751.999999999998</x:v>
      </x:c>
      <x:c r="F7" s="1"/>
      <x:c r="G7" s="1"/>
      <x:c r="H7" s="1"/>
      <x:c r="I7" s="1"/>
      <x:c r="J7" s="1"/>
    </x:row>
    <x:row r="8" ht="25" customHeight="1">
      <x:c r="A8" s="1"/>
      <x:c r="B8" s="1"/>
      <x:c r="C8" s="1" t="str">
        <x:v>Mantenimiento</x:v>
      </x:c>
      <x:c r="D8" s="38" t="n">
        <x:f>'Servicios'!F19</x:f>
        <x:v>1920</x:v>
      </x:c>
      <x:c r="E8" s="38" t="n">
        <x:f>'Servicios'!G19</x:f>
        <x:v>23040</x:v>
      </x:c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38"/>
      <x:c r="E9" s="38"/>
      <x:c r="F9" s="1"/>
      <x:c r="G9" s="1"/>
      <x:c r="H9" s="1"/>
      <x:c r="I9" s="1"/>
      <x:c r="J9" s="1"/>
    </x:row>
    <x:row r="10" ht="25" customHeight="1">
      <x:c r="A10" s="1"/>
      <x:c r="B10" s="1"/>
      <x:c r="C10" s="23" t="str">
        <x:v>Total primer año</x:v>
      </x:c>
      <x:c r="D10" s="40"/>
      <x:c r="E10" s="40" t="n">
        <x:f>SUM(E6:E8)</x:f>
        <x:v>59592</x:v>
      </x:c>
      <x:c r="F10" s="1"/>
      <x:c r="G10" s="1"/>
      <x:c r="H10" s="1"/>
      <x:c r="I10" s="1"/>
      <x:c r="J10" s="1"/>
    </x:row>
    <x:row r="11" ht="25" customHeight="1">
      <x:c r="A11" s="1"/>
      <x:c r="B11" s="1"/>
      <x:c r="C11" s="1"/>
      <x:c r="D11" s="38"/>
      <x:c r="E11" s="38"/>
      <x:c r="F11" s="1"/>
      <x:c r="G11" s="1"/>
      <x:c r="H11" s="1"/>
      <x:c r="I11" s="1"/>
      <x:c r="J11" s="1"/>
    </x:row>
    <x:row r="12" ht="25" customHeight="1">
      <x:c r="A12" s="1"/>
      <x:c r="B12" s="1"/>
      <x:c r="C12" s="23" t="str">
        <x:v>Operación recurrente</x:v>
      </x:c>
      <x:c r="D12" s="40" t="n">
        <x:f>SUM(D7:D8)</x:f>
        <x:v>2566</x:v>
      </x:c>
      <x:c r="E12" s="40" t="n">
        <x:f>SUM(E7:E8)</x:f>
        <x:v>30792</x:v>
      </x:c>
      <x:c r="F12" s="1"/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 t="str">
        <x:v>Presupuesto Azure mensual (USD)</x:v>
      </x:c>
      <x:c r="D15" s="1"/>
      <x:c r="E15" s="44" t="n">
        <x:f>'Ambientes'!F16</x:f>
        <x:v>170</x:v>
      </x:c>
      <x:c r="F15" s="1"/>
      <x:c r="G15" s="1"/>
      <x:c r="H15" s="1"/>
      <x:c r="I15" s="1"/>
      <x:c r="J15" s="1"/>
    </x:row>
    <x:row r="16" ht="25" customHeight="1">
      <x:c r="A16" s="1"/>
      <x:c r="B16" s="1"/>
      <x:c r="C16" s="1" t="str">
        <x:v>Tipo de cambio de planificación</x:v>
      </x:c>
      <x:c r="D16" s="1"/>
      <x:c r="E16" s="45" t="n">
        <x:f>'Supuestos'!D6</x:f>
        <x:v>3.8</x:v>
      </x:c>
      <x:c r="F16" s="1"/>
      <x:c r="G16" s="1"/>
      <x:c r="H16" s="1"/>
      <x:c r="I16" s="1"/>
      <x:c r="J16" s="1"/>
    </x:row>
    <x:row r="17" ht="25" customHeight="1">
      <x:c r="A17" s="1"/>
      <x:c r="B17" s="1"/>
      <x:c r="C17" s="1" t="str">
        <x:v>Horas de implementación</x:v>
      </x:c>
      <x:c r="D17" s="1"/>
      <x:c r="E17" s="1" t="n">
        <x:f>'Servicios'!D13</x:f>
        <x:v>200</x:v>
      </x:c>
      <x:c r="F17" s="1"/>
      <x:c r="G17" s="1"/>
      <x:c r="H17" s="1"/>
      <x:c r="I17" s="1"/>
      <x:c r="J17" s="1"/>
    </x:row>
    <x:row r="18" ht="25" customHeight="1">
      <x:c r="A18" s="1"/>
      <x:c r="B18" s="1"/>
      <x:c r="C18" s="1" t="str">
        <x:v>Horas de mantenimiento mensual</x:v>
      </x:c>
      <x:c r="D18" s="1"/>
      <x:c r="E18" s="1" t="n">
        <x:f>'Servicios'!D19</x:f>
        <x:v>16</x:v>
      </x:c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40" customHeight="1">
      <x:c r="A21" s="1"/>
      <x:c r="B21" s="1"/>
      <x:c r="C21" s="17" t="str">
        <x:v>Escenario inicial: Windows, SQL S2, 15 usuarios y desarrollo free. Horizonte: 12 meses completos de operación.</x:v>
      </x:c>
      <x:c r="D21" s="17"/>
      <x:c r="E21" s="17"/>
      <x:c r="F21" s="17"/>
      <x:c r="G21" s="17"/>
      <x:c r="H21" s="17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40" customHeight="1">
      <x:c r="A23" s="1"/>
      <x:c r="B23" s="1"/>
      <x:c r="C23" s="17" t="str">
        <x:v>Para recalcular: editar Supuestos y las horas amarillas de Servicios. Cambiar D5 en Supuestos permite evaluar Linux.</x:v>
      </x:c>
      <x:c r="D23" s="17"/>
      <x:c r="E23" s="17"/>
      <x:c r="F23" s="17"/>
      <x:c r="G23" s="17"/>
      <x:c r="H23" s="17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40" customHeight="1">
      <x:c r="A25" s="1"/>
      <x:c r="B25" s="1"/>
      <x:c r="C25" s="17" t="str">
        <x:v>Los ceros de licencias son cargos separados no requeridos. Azure incluye el motor SQL y el sistema operativo.</x:v>
      </x:c>
      <x:c r="D25" s="17"/>
      <x:c r="E25" s="17"/>
      <x:c r="F25" s="17"/>
      <x:c r="G25" s="17"/>
      <x:c r="H25" s="17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40" customHeight="1">
      <x:c r="A27" s="1"/>
      <x:c r="B27" s="1"/>
      <x:c r="C27" s="17" t="str">
        <x:v>Valores sin impuestos. Mano de obra y reservas estimadas. Cotización final sujeta a revisión del código y contrato Azure.</x:v>
      </x:c>
      <x:c r="D27" s="17"/>
      <x:c r="E27" s="17"/>
      <x:c r="F27" s="17"/>
      <x:c r="G27" s="17"/>
      <x:c r="H27" s="17"/>
      <x:c r="I27" s="1"/>
      <x:c r="J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</x:sheetData>
  <x:mergeCells>
    <x:mergeCell ref="C21:H21"/>
    <x:mergeCell ref="C23:H23"/>
    <x:mergeCell ref="C25:H25"/>
    <x:mergeCell ref="C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199A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Costos por ambiente y servicio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"/>
      <x:c r="B5" s="1"/>
      <x:c r="C5" s="6" t="str">
        <x:v>Servicio</x:v>
      </x:c>
      <x:c r="D5" s="6" t="str">
        <x:v>PROD USD/mes</x:v>
      </x:c>
      <x:c r="E5" s="6" t="str">
        <x:v>DEV USD/mes</x:v>
      </x:c>
      <x:c r="F5" s="6" t="str">
        <x:v>Total USD/mes</x:v>
      </x:c>
      <x:c r="G5" s="6" t="str">
        <x:v>Total PEN/mes</x:v>
      </x:c>
      <x:c r="H5" s="6" t="str">
        <x:v>Total PEN/año</x:v>
      </x:c>
      <x:c r="I5" s="1"/>
      <x:c r="J5" s="1"/>
    </x:row>
    <x:row r="6" ht="25" customHeight="1">
      <x:c r="A6" s="1"/>
      <x:c r="B6" s="1"/>
      <x:c r="C6" s="1" t="str">
        <x:v>App Service B1 / F1</x:v>
      </x:c>
      <x:c r="D6" s="25" t="n">
        <x:f>CHOOSE('Supuestos'!D5,'Supuestos'!D13,'Supuestos'!D14)*'Supuestos'!D8</x:f>
        <x:v>54.75</x:v>
      </x:c>
      <x:c r="E6" s="26" t="n">
        <x:f>0</x:f>
        <x:v>0</x:v>
      </x:c>
      <x:c r="F6" s="26" t="n">
        <x:f>SUM(D6:E6)</x:f>
        <x:v>54.75</x:v>
      </x:c>
      <x:c r="G6" s="25" t="n">
        <x:f>F6*'Supuestos'!D6</x:f>
        <x:v>208.04999999999998</x:v>
      </x:c>
      <x:c r="H6" s="25" t="n">
        <x:f>G6*'Supuestos'!D7</x:f>
        <x:v>2496.6</x:v>
      </x:c>
      <x:c r="I6" s="1"/>
      <x:c r="J6" s="1"/>
    </x:row>
    <x:row r="7" ht="25" customHeight="1">
      <x:c r="A7" s="1"/>
      <x:c r="B7" s="1"/>
      <x:c r="C7" s="1" t="str">
        <x:v>Azure SQL S2 / oferta gratuita</x:v>
      </x:c>
      <x:c r="D7" s="25" t="n">
        <x:f>'Supuestos'!D15*'Supuestos'!D8/24</x:f>
        <x:v>73.60833333333333</x:v>
      </x:c>
      <x:c r="E7" s="26" t="n">
        <x:f>0</x:f>
        <x:v>0</x:v>
      </x:c>
      <x:c r="F7" s="26" t="n">
        <x:f>SUM(D7:E7)</x:f>
        <x:v>73.60833333333333</x:v>
      </x:c>
      <x:c r="G7" s="25" t="n">
        <x:f>F7*'Supuestos'!D6</x:f>
        <x:v>279.71166666666664</x:v>
      </x:c>
      <x:c r="H7" s="25" t="n">
        <x:f>G7*'Supuestos'!D7</x:f>
        <x:v>3356.54</x:v>
      </x:c>
      <x:c r="I7" s="1"/>
      <x:c r="J7" s="1"/>
    </x:row>
    <x:row r="8" ht="25" customHeight="1">
      <x:c r="A8" s="1"/>
      <x:c r="B8" s="1"/>
      <x:c r="C8" s="1" t="str">
        <x:v>Backup PITR</x:v>
      </x:c>
      <x:c r="D8" s="26" t="n">
        <x:f>0</x:f>
        <x:v>0</x:v>
      </x:c>
      <x:c r="E8" s="26" t="n">
        <x:f>0</x:f>
        <x:v>0</x:v>
      </x:c>
      <x:c r="F8" s="26" t="n">
        <x:f>SUM(D8:E8)</x:f>
        <x:v>0</x:v>
      </x:c>
      <x:c r="G8" s="25" t="n">
        <x:f>F8*'Supuestos'!D6</x:f>
        <x:v>0</x:v>
      </x:c>
      <x:c r="H8" s="25" t="n">
        <x:f>G8*'Supuestos'!D7</x:f>
        <x:v>0</x:v>
      </x:c>
      <x:c r="I8" s="1"/>
      <x:c r="J8" s="1"/>
    </x:row>
    <x:row r="9" ht="25" customHeight="1">
      <x:c r="A9" s="1"/>
      <x:c r="B9" s="1"/>
      <x:c r="C9" s="1" t="str">
        <x:v>Backup LTR</x:v>
      </x:c>
      <x:c r="D9" s="25" t="n">
        <x:f>'Supuestos'!D17</x:f>
        <x:v>10</x:v>
      </x:c>
      <x:c r="E9" s="26" t="n">
        <x:f>0</x:f>
        <x:v>0</x:v>
      </x:c>
      <x:c r="F9" s="26" t="n">
        <x:f>SUM(D9:E9)</x:f>
        <x:v>10</x:v>
      </x:c>
      <x:c r="G9" s="25" t="n">
        <x:f>F9*'Supuestos'!D6</x:f>
        <x:v>38</x:v>
      </x:c>
      <x:c r="H9" s="25" t="n">
        <x:f>G9*'Supuestos'!D7</x:f>
        <x:v>456</x:v>
      </x:c>
      <x:c r="I9" s="1"/>
      <x:c r="J9" s="1"/>
    </x:row>
    <x:row r="10" ht="25" customHeight="1">
      <x:c r="A10" s="1"/>
      <x:c r="B10" s="1"/>
      <x:c r="C10" s="1" t="str">
        <x:v>BD temporal para restauraciones</x:v>
      </x:c>
      <x:c r="D10" s="25" t="n">
        <x:f>'Supuestos'!D18</x:f>
        <x:v>5</x:v>
      </x:c>
      <x:c r="E10" s="26" t="n">
        <x:f>0</x:f>
        <x:v>0</x:v>
      </x:c>
      <x:c r="F10" s="26" t="n">
        <x:f>SUM(D10:E10)</x:f>
        <x:v>5</x:v>
      </x:c>
      <x:c r="G10" s="25" t="n">
        <x:f>F10*'Supuestos'!D6</x:f>
        <x:v>19</x:v>
      </x:c>
      <x:c r="H10" s="25" t="n">
        <x:f>G10*'Supuestos'!D7</x:f>
        <x:v>228</x:v>
      </x:c>
      <x:c r="I10" s="1"/>
      <x:c r="J10" s="1"/>
    </x:row>
    <x:row r="11" ht="25" customHeight="1">
      <x:c r="A11" s="1"/>
      <x:c r="B11" s="1"/>
      <x:c r="C11" s="1" t="str">
        <x:v>Blob Storage</x:v>
      </x:c>
      <x:c r="D11" s="25" t="n">
        <x:f>'Supuestos'!D19</x:f>
        <x:v>3</x:v>
      </x:c>
      <x:c r="E11" s="25" t="n">
        <x:f>'Supuestos'!D21</x:f>
        <x:v>2</x:v>
      </x:c>
      <x:c r="F11" s="26" t="n">
        <x:f>SUM(D11:E11)</x:f>
        <x:v>5</x:v>
      </x:c>
      <x:c r="G11" s="25" t="n">
        <x:f>F11*'Supuestos'!D6</x:f>
        <x:v>19</x:v>
      </x:c>
      <x:c r="H11" s="25" t="n">
        <x:f>G11*'Supuestos'!D7</x:f>
        <x:v>228</x:v>
      </x:c>
      <x:c r="I11" s="1"/>
      <x:c r="J11" s="1"/>
    </x:row>
    <x:row r="12" ht="25" customHeight="1">
      <x:c r="A12" s="1"/>
      <x:c r="B12" s="1"/>
      <x:c r="C12" s="1" t="str">
        <x:v>Monitoreo y otros consumos</x:v>
      </x:c>
      <x:c r="D12" s="25" t="n">
        <x:f>'Supuestos'!D20</x:f>
        <x:v>7</x:v>
      </x:c>
      <x:c r="E12" s="26" t="n">
        <x:f>0</x:f>
        <x:v>0</x:v>
      </x:c>
      <x:c r="F12" s="26" t="n">
        <x:f>SUM(D12:E12)</x:f>
        <x:v>7</x:v>
      </x:c>
      <x:c r="G12" s="25" t="n">
        <x:f>F12*'Supuestos'!D6</x:f>
        <x:v>26.599999999999998</x:v>
      </x:c>
      <x:c r="H12" s="25" t="n">
        <x:f>G12*'Supuestos'!D7</x:f>
        <x:v>319.2</x:v>
      </x:c>
      <x:c r="I12" s="1"/>
      <x:c r="J12" s="1"/>
    </x:row>
    <x:row r="13" ht="25" customHeight="1">
      <x:c r="A13" s="1"/>
      <x:c r="B13" s="1"/>
      <x:c r="C13" s="23" t="str">
        <x:v>Subtotal de consumos y provisiones</x:v>
      </x:c>
      <x:c r="D13" s="27" t="n">
        <x:f>SUM(D6:D12)</x:f>
        <x:v>153.35833333333335</x:v>
      </x:c>
      <x:c r="E13" s="27" t="n">
        <x:f>SUM(E6:E12)</x:f>
        <x:v>2</x:v>
      </x:c>
      <x:c r="F13" s="27" t="n">
        <x:f>SUM(F6:F12)</x:f>
        <x:v>155.35833333333335</x:v>
      </x:c>
      <x:c r="G13" s="27" t="n">
        <x:f>SUM(G6:G12)</x:f>
        <x:v>590.3616666666667</x:v>
      </x:c>
      <x:c r="H13" s="27" t="n">
        <x:f>SUM(H6:H12)</x:f>
        <x:v>7084.339999999999</x:v>
      </x:c>
      <x:c r="I13" s="1"/>
      <x:c r="J13" s="1"/>
    </x:row>
    <x:row r="14" ht="25" customHeight="1">
      <x:c r="A14" s="1"/>
      <x:c r="B14" s="1"/>
      <x:c r="C14" s="1"/>
      <x:c r="D14" s="28"/>
      <x:c r="E14" s="28"/>
      <x:c r="F14" s="28"/>
      <x:c r="G14" s="28"/>
      <x:c r="H14" s="28"/>
      <x:c r="I14" s="1"/>
      <x:c r="J14" s="1"/>
    </x:row>
    <x:row r="15" ht="25" customHeight="1">
      <x:c r="A15" s="1"/>
      <x:c r="B15" s="1"/>
      <x:c r="C15" s="1" t="str">
        <x:v>Margen adicional de presupuesto</x:v>
      </x:c>
      <x:c r="D15" s="28"/>
      <x:c r="E15" s="28"/>
      <x:c r="F15" s="25" t="n">
        <x:f>MAX(0,CHOOSE('Supuestos'!D5,'Supuestos'!D22,'Supuestos'!D23)-F13)</x:f>
        <x:v>14.641666666666652</x:v>
      </x:c>
      <x:c r="G15" s="25" t="n">
        <x:f>F15*'Supuestos'!D6</x:f>
        <x:v>55.63833333333327</x:v>
      </x:c>
      <x:c r="H15" s="25" t="n">
        <x:f>G15*'Supuestos'!D7</x:f>
        <x:v>667.6599999999993</x:v>
      </x:c>
      <x:c r="I15" s="1"/>
      <x:c r="J15" s="1"/>
    </x:row>
    <x:row r="16" ht="25" customHeight="1">
      <x:c r="A16" s="1"/>
      <x:c r="B16" s="1"/>
      <x:c r="C16" s="23" t="str">
        <x:v>Presupuesto total de ambientes</x:v>
      </x:c>
      <x:c r="D16" s="29"/>
      <x:c r="E16" s="29"/>
      <x:c r="F16" s="27" t="n">
        <x:f>SUM(F13,F15)</x:f>
        <x:v>170</x:v>
      </x:c>
      <x:c r="G16" s="27" t="n">
        <x:f>SUM(G13,G15)</x:f>
        <x:v>646</x:v>
      </x:c>
      <x:c r="H16" s="27" t="n">
        <x:f>SUM(H13,H15)</x:f>
        <x:v>7751.999999999998</x:v>
      </x:c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40" customHeight="1">
      <x:c r="A19" s="1"/>
      <x:c r="B19" s="1"/>
      <x:c r="C19" s="17" t="str">
        <x:v>PROD: una instancia B1 y SQL S2. DEV: F1 y oferta SQL gratuita. No se suman Windows y Linux.</x:v>
      </x:c>
      <x:c r="D19" s="17"/>
      <x:c r="E19" s="17"/>
      <x:c r="F19" s="17"/>
      <x:c r="G19" s="17"/>
      <x:c r="H19" s="17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40" customHeight="1">
      <x:c r="A21" s="1"/>
      <x:c r="B21" s="1"/>
      <x:c r="C21" s="17" t="str">
        <x:v>Las filas LTR, restauraciones, Blob y monitoreo son reservas mensuales, no precios unitarios de Azure.</x:v>
      </x:c>
      <x:c r="D21" s="17"/>
      <x:c r="E21" s="17"/>
      <x:c r="F21" s="17"/>
      <x:c r="G21" s="17"/>
      <x:c r="H21" s="17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40" customHeight="1">
      <x:c r="A23" s="1"/>
      <x:c r="B23" s="1"/>
      <x:c r="C23" s="17" t="str">
        <x:v>F1 y SQL gratuitos dependen de las cuotas. DEV no sirve como referencia de rendimiento productivo.</x:v>
      </x:c>
      <x:c r="D23" s="17"/>
      <x:c r="E23" s="17"/>
      <x:c r="F23" s="17"/>
      <x:c r="G23" s="17"/>
      <x:c r="H23" s="17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 t="str">
        <x:v>Alternativa DEV con SQL S0</x:v>
      </x:c>
      <x:c r="D26" s="1"/>
      <x:c r="E26" s="1"/>
      <x:c r="F26" s="25" t="n">
        <x:f>'Supuestos'!D16*'Supuestos'!D8/24</x:f>
        <x:v>14.718625000000001</x:v>
      </x:c>
      <x:c r="G26" s="1" t="str">
        <x:v>USD/mes extra</x:v>
      </x:c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40" customHeight="1">
      <x:c r="A28" s="1"/>
      <x:c r="B28" s="1"/>
      <x:c r="C28" s="17" t="str">
        <x:v>La alternativa SQL S0 no se suma al presupuesto base. El almacenamiento de desarrollo sigue separado de PROD.</x:v>
      </x:c>
      <x:c r="D28" s="17"/>
      <x:c r="E28" s="17"/>
      <x:c r="F28" s="17"/>
      <x:c r="G28" s="17"/>
      <x:c r="H28" s="17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</x:sheetData>
  <x:mergeCells>
    <x:mergeCell ref="C19:H19"/>
    <x:mergeCell ref="C21:H21"/>
    <x:mergeCell ref="C23:H23"/>
    <x:mergeCell ref="C28:H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199A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6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Licencias frente al consumo de servicios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"/>
      <x:c r="B5" s="1"/>
      <x:c r="C5" s="6" t="str">
        <x:v>Componente</x:v>
      </x:c>
      <x:c r="D5" s="6" t="str">
        <x:v>PROD</x:v>
      </x:c>
      <x:c r="E5" s="6" t="str">
        <x:v>DEV</x:v>
      </x:c>
      <x:c r="F5" s="6" t="str">
        <x:v>Extra USD/mes</x:v>
      </x:c>
      <x:c r="G5" s="1"/>
      <x:c r="H5" s="1"/>
      <x:c r="I5" s="1"/>
      <x:c r="J5" s="1"/>
    </x:row>
    <x:row r="6" ht="48" customHeight="1">
      <x:c r="A6" s="1"/>
      <x:c r="B6" s="1"/>
      <x:c r="C6" s="16" t="str">
        <x:v>Motor SQL</x:v>
      </x:c>
      <x:c r="D6" s="16" t="str">
        <x:v>Incluido en Azure SQL</x:v>
      </x:c>
      <x:c r="E6" s="16" t="str">
        <x:v>Oferta gratuita</x:v>
      </x:c>
      <x:c r="F6" s="30" t="n">
        <x:v>0</x:v>
      </x:c>
      <x:c r="G6" s="1"/>
      <x:c r="H6" s="1"/>
      <x:c r="I6" s="1"/>
      <x:c r="J6" s="1"/>
    </x:row>
    <x:row r="7" ht="48" customHeight="1">
      <x:c r="A7" s="1"/>
      <x:c r="B7" s="1"/>
      <x:c r="C7" s="16" t="str">
        <x:v>Sistema operativo web</x:v>
      </x:c>
      <x:c r="D7" s="16" t="str">
        <x:v>Incluido en App Service</x:v>
      </x:c>
      <x:c r="E7" s="16" t="str">
        <x:v>Incluido en F1</x:v>
      </x:c>
      <x:c r="F7" s="30" t="n">
        <x:v>0</x:v>
      </x:c>
      <x:c r="G7" s="1"/>
      <x:c r="H7" s="1"/>
      <x:c r="I7" s="1"/>
      <x:c r="J7" s="1"/>
    </x:row>
    <x:row r="8" ht="48" customHeight="1">
      <x:c r="A8" s="1"/>
      <x:c r="B8" s="1"/>
      <x:c r="C8" s="16" t="str">
        <x:v>Runtime .NET / ASP.NET Core</x:v>
      </x:c>
      <x:c r="D8" s="16" t="str">
        <x:v>Sin cargo separado</x:v>
      </x:c>
      <x:c r="E8" s="16" t="str">
        <x:v>Sin cargo separado</x:v>
      </x:c>
      <x:c r="F8" s="30" t="n">
        <x:v>0</x:v>
      </x:c>
      <x:c r="G8" s="1"/>
      <x:c r="H8" s="1"/>
      <x:c r="I8" s="1"/>
      <x:c r="J8" s="1"/>
    </x:row>
    <x:row r="9" ht="48" customHeight="1">
      <x:c r="A9" s="1"/>
      <x:c r="B9" s="1"/>
      <x:c r="C9" s="16" t="str">
        <x:v>Acceso a Landscape TSI</x:v>
      </x:c>
      <x:c r="D9" s="16" t="str">
        <x:v>Sin licencia propia por usuario</x:v>
      </x:c>
      <x:c r="E9" s="16" t="str">
        <x:v>Sin licencia propia por usuario</x:v>
      </x:c>
      <x:c r="F9" s="30" t="n">
        <x:v>0</x:v>
      </x:c>
      <x:c r="G9" s="1"/>
      <x:c r="H9" s="1"/>
      <x:c r="I9" s="1"/>
      <x:c r="J9" s="1"/>
    </x:row>
    <x:row r="10" ht="48" customHeight="1">
      <x:c r="A10" s="1"/>
      <x:c r="B10" s="1"/>
      <x:c r="C10" s="16" t="str">
        <x:v>Backup PITR</x:v>
      </x:c>
      <x:c r="D10" s="16" t="str">
        <x:v>Incluido en SQL DTU</x:v>
      </x:c>
      <x:c r="E10" s="16" t="str">
        <x:v>Incluido según cuota</x:v>
      </x:c>
      <x:c r="F10" s="30" t="n">
        <x:v>0</x:v>
      </x:c>
      <x:c r="G10" s="1"/>
      <x:c r="H10" s="1"/>
      <x:c r="I10" s="1"/>
      <x:c r="J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/>
      <x:c r="B12" s="1"/>
      <x:c r="C12" s="23" t="str">
        <x:v>Licencias adicionales incluidas</x:v>
      </x:c>
      <x:c r="D12" s="23"/>
      <x:c r="E12" s="23"/>
      <x:c r="F12" s="24" t="n">
        <x:f>SUM(F6:F10)</x:f>
        <x:v>0</x:v>
      </x:c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40" customHeight="1">
      <x:c r="A15" s="1"/>
      <x:c r="B15" s="1"/>
      <x:c r="C15" s="17" t="str">
        <x:v>El precio publicado de Azure SQL incluye la licencia del motor. No existe aquí un desglose contractual de su valor.</x:v>
      </x:c>
      <x:c r="D15" s="17"/>
      <x:c r="E15" s="17"/>
      <x:c r="F15" s="17"/>
      <x:c r="G15" s="17"/>
      <x:c r="H15" s="17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40" customHeight="1">
      <x:c r="A17" s="1"/>
      <x:c r="B17" s="1"/>
      <x:c r="C17" s="17" t="str">
        <x:v>El cero representa cargo adicional separado. El servicio Azure sí tiene costo, registrado en Ambientes.</x:v>
      </x:c>
      <x:c r="D17" s="17"/>
      <x:c r="E17" s="17"/>
      <x:c r="F17" s="17"/>
      <x:c r="G17" s="17"/>
      <x:c r="H17" s="17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30" customHeight="1">
      <x:c r="A20" s="1"/>
      <x:c r="B20" s="1"/>
      <x:c r="C20" s="6" t="str">
        <x:v>Fuera del presupuesto</x:v>
      </x:c>
      <x:c r="D20" s="6" t="str">
        <x:v>Tratamiento</x:v>
      </x:c>
      <x:c r="E20" s="6" t="str">
        <x:v>Ambiente</x:v>
      </x:c>
      <x:c r="F20" s="6" t="str">
        <x:v>Estado</x:v>
      </x:c>
      <x:c r="G20" s="1"/>
      <x:c r="H20" s="1"/>
      <x:c r="I20" s="1"/>
      <x:c r="J20" s="1"/>
    </x:row>
    <x:row r="21" ht="45" customHeight="1">
      <x:c r="A21" s="1"/>
      <x:c r="B21" s="1"/>
      <x:c r="C21" s="16" t="str">
        <x:v>Visual Studio / IDE / IA</x:v>
      </x:c>
      <x:c r="D21" s="16" t="str">
        <x:v>Licencia corporativa o cotizar</x:v>
      </x:c>
      <x:c r="E21" s="16" t="str">
        <x:v>Desarrollo</x:v>
      </x:c>
      <x:c r="F21" s="16" t="str">
        <x:v>No incluido</x:v>
      </x:c>
      <x:c r="G21" s="1"/>
      <x:c r="H21" s="1"/>
      <x:c r="I21" s="1"/>
      <x:c r="J21" s="1"/>
    </x:row>
    <x:row r="22" ht="45" customHeight="1">
      <x:c r="A22" s="1"/>
      <x:c r="B22" s="1"/>
      <x:c r="C22" s="16" t="str">
        <x:v>Power BI</x:v>
      </x:c>
      <x:c r="D22" s="16" t="str">
        <x:v>No requerido para Chart.js</x:v>
      </x:c>
      <x:c r="E22" s="16" t="str">
        <x:v>Si se incorpora</x:v>
      </x:c>
      <x:c r="F22" s="16" t="str">
        <x:v>No incluido</x:v>
      </x:c>
      <x:c r="G22" s="1"/>
      <x:c r="H22" s="1"/>
      <x:c r="I22" s="1"/>
      <x:c r="J22" s="1"/>
    </x:row>
    <x:row r="23" ht="45" customHeight="1">
      <x:c r="A23" s="1"/>
      <x:c r="B23" s="1"/>
      <x:c r="C23" s="16" t="str">
        <x:v>Soporte Azure contratado</x:v>
      </x:c>
      <x:c r="D23" s="16" t="str">
        <x:v>Cotizar por separado</x:v>
      </x:c>
      <x:c r="E23" s="16" t="str">
        <x:v>Compartido</x:v>
      </x:c>
      <x:c r="F23" s="16" t="str">
        <x:v>No incluido</x:v>
      </x:c>
      <x:c r="G23" s="1"/>
      <x:c r="H23" s="1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</x:sheetData>
  <x:mergeCells>
    <x:mergeCell ref="C15:H15"/>
    <x:mergeCell ref="C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9A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Desarrollo y mantenimiento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"/>
      <x:c r="B5" s="1"/>
      <x:c r="C5" s="6" t="str">
        <x:v>Implementación release 1</x:v>
      </x:c>
      <x:c r="D5" s="6" t="str">
        <x:v>Horas</x:v>
      </x:c>
      <x:c r="E5" s="6" t="str">
        <x:v>PEN/h</x:v>
      </x:c>
      <x:c r="F5" s="6" t="str">
        <x:v>Costo PEN</x:v>
      </x:c>
      <x:c r="G5" s="1"/>
      <x:c r="H5" s="1"/>
      <x:c r="I5" s="1"/>
      <x:c r="J5" s="1"/>
    </x:row>
    <x:row r="6" ht="25" customHeight="1">
      <x:c r="A6" s="1"/>
      <x:c r="B6" s="1"/>
      <x:c r="C6" s="1" t="str">
        <x:v>Revisión de código y alcance</x:v>
      </x:c>
      <x:c r="D6" s="8" t="n">
        <x:v>16</x:v>
      </x:c>
      <x:c r="E6" s="25" t="n">
        <x:f>'Supuestos'!D9</x:f>
        <x:v>120</x:v>
      </x:c>
      <x:c r="F6" s="26" t="n">
        <x:f>D6*E6</x:f>
        <x:v>1920</x:v>
      </x:c>
      <x:c r="G6" s="1"/>
      <x:c r="H6" s="1"/>
      <x:c r="I6" s="1"/>
      <x:c r="J6" s="1"/>
    </x:row>
    <x:row r="7" ht="25" customHeight="1">
      <x:c r="A7" s="1"/>
      <x:c r="B7" s="1"/>
      <x:c r="C7" s="1" t="str">
        <x:v>Modelo, formularios, flujos y roles</x:v>
      </x:c>
      <x:c r="D7" s="8" t="n">
        <x:v>64</x:v>
      </x:c>
      <x:c r="E7" s="25" t="n">
        <x:f>'Supuestos'!D9</x:f>
        <x:v>120</x:v>
      </x:c>
      <x:c r="F7" s="26" t="n">
        <x:f>D7*E7</x:f>
        <x:v>7680</x:v>
      </x:c>
      <x:c r="G7" s="1"/>
      <x:c r="H7" s="1"/>
      <x:c r="I7" s="1"/>
      <x:c r="J7" s="1"/>
    </x:row>
    <x:row r="8" ht="25" customHeight="1">
      <x:c r="A8" s="1"/>
      <x:c r="B8" s="1"/>
      <x:c r="C8" s="1" t="str">
        <x:v>Importación y depuración de datos</x:v>
      </x:c>
      <x:c r="D8" s="8" t="n">
        <x:v>24</x:v>
      </x:c>
      <x:c r="E8" s="25" t="n">
        <x:f>'Supuestos'!D9</x:f>
        <x:v>120</x:v>
      </x:c>
      <x:c r="F8" s="26" t="n">
        <x:f>D8*E8</x:f>
        <x:v>2880</x:v>
      </x:c>
      <x:c r="G8" s="1"/>
      <x:c r="H8" s="1"/>
      <x:c r="I8" s="1"/>
      <x:c r="J8" s="1"/>
    </x:row>
    <x:row r="9" ht="25" customHeight="1">
      <x:c r="A9" s="1"/>
      <x:c r="B9" s="1"/>
      <x:c r="C9" s="1" t="str">
        <x:v>Configuración PROD y DEV</x:v>
      </x:c>
      <x:c r="D9" s="8" t="n">
        <x:v>24</x:v>
      </x:c>
      <x:c r="E9" s="25" t="n">
        <x:f>'Supuestos'!D9</x:f>
        <x:v>120</x:v>
      </x:c>
      <x:c r="F9" s="26" t="n">
        <x:f>D9*E9</x:f>
        <x:v>2880</x:v>
      </x:c>
      <x:c r="G9" s="1"/>
      <x:c r="H9" s="1"/>
      <x:c r="I9" s="1"/>
      <x:c r="J9" s="1"/>
    </x:row>
    <x:row r="10" ht="25" customHeight="1">
      <x:c r="A10" s="1"/>
      <x:c r="B10" s="1"/>
      <x:c r="C10" s="1" t="str">
        <x:v>Despliegue, backups y recuperación</x:v>
      </x:c>
      <x:c r="D10" s="8" t="n">
        <x:v>24</x:v>
      </x:c>
      <x:c r="E10" s="25" t="n">
        <x:f>'Supuestos'!D9</x:f>
        <x:v>120</x:v>
      </x:c>
      <x:c r="F10" s="26" t="n">
        <x:f>D10*E10</x:f>
        <x:v>2880</x:v>
      </x:c>
      <x:c r="G10" s="1"/>
      <x:c r="H10" s="1"/>
      <x:c r="I10" s="1"/>
      <x:c r="J10" s="1"/>
    </x:row>
    <x:row r="11" ht="25" customHeight="1">
      <x:c r="A11" s="1"/>
      <x:c r="B11" s="1"/>
      <x:c r="C11" s="1" t="str">
        <x:v>Pruebas funcionales y rendimiento</x:v>
      </x:c>
      <x:c r="D11" s="8" t="n">
        <x:v>32</x:v>
      </x:c>
      <x:c r="E11" s="25" t="n">
        <x:f>'Supuestos'!D9</x:f>
        <x:v>120</x:v>
      </x:c>
      <x:c r="F11" s="26" t="n">
        <x:f>D11*E11</x:f>
        <x:v>3840</x:v>
      </x:c>
      <x:c r="G11" s="1"/>
      <x:c r="H11" s="1"/>
      <x:c r="I11" s="1"/>
      <x:c r="J11" s="1"/>
    </x:row>
    <x:row r="12" ht="25" customHeight="1">
      <x:c r="A12" s="1"/>
      <x:c r="B12" s="1"/>
      <x:c r="C12" s="1" t="str">
        <x:v>Documentación y transferencia</x:v>
      </x:c>
      <x:c r="D12" s="8" t="n">
        <x:v>16</x:v>
      </x:c>
      <x:c r="E12" s="25" t="n">
        <x:f>'Supuestos'!D9</x:f>
        <x:v>120</x:v>
      </x:c>
      <x:c r="F12" s="26" t="n">
        <x:f>D12*E12</x:f>
        <x:v>1920</x:v>
      </x:c>
      <x:c r="G12" s="1"/>
      <x:c r="H12" s="1"/>
      <x:c r="I12" s="1"/>
      <x:c r="J12" s="1"/>
    </x:row>
    <x:row r="13" ht="25" customHeight="1">
      <x:c r="A13" s="1"/>
      <x:c r="B13" s="1"/>
      <x:c r="C13" s="23" t="str">
        <x:v>Subtotal implementación</x:v>
      </x:c>
      <x:c r="D13" s="24" t="n">
        <x:f>SUM(D6:D12)</x:f>
        <x:v>200</x:v>
      </x:c>
      <x:c r="E13" s="29"/>
      <x:c r="F13" s="27" t="n">
        <x:f>SUM(F6:F12)</x:f>
        <x:v>24000</x:v>
      </x:c>
      <x:c r="G13" s="1"/>
      <x:c r="H13" s="1"/>
      <x:c r="I13" s="1"/>
      <x:c r="J13" s="1"/>
    </x:row>
    <x:row r="14" ht="25" customHeight="1">
      <x:c r="A14" s="1"/>
      <x:c r="B14" s="1"/>
      <x:c r="C14" s="1" t="str">
        <x:v>Contingencia</x:v>
      </x:c>
      <x:c r="D14" s="1"/>
      <x:c r="E14" s="31" t="n">
        <x:f>'Supuestos'!D12</x:f>
        <x:v>0.2</x:v>
      </x:c>
      <x:c r="F14" s="26" t="n">
        <x:f>F13*E14</x:f>
        <x:v>4800</x:v>
      </x:c>
      <x:c r="G14" s="1"/>
      <x:c r="H14" s="1"/>
      <x:c r="I14" s="1"/>
      <x:c r="J14" s="1"/>
    </x:row>
    <x:row r="15" ht="25" customHeight="1">
      <x:c r="A15" s="1"/>
      <x:c r="B15" s="1"/>
      <x:c r="C15" s="23" t="str">
        <x:v>Implementación con contingencia</x:v>
      </x:c>
      <x:c r="D15" s="23"/>
      <x:c r="E15" s="23"/>
      <x:c r="F15" s="27" t="n">
        <x:f>SUM(F13:F14)</x:f>
        <x:v>28800</x:v>
      </x:c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30" customHeight="1">
      <x:c r="A18" s="1"/>
      <x:c r="B18" s="1"/>
      <x:c r="C18" s="6" t="str">
        <x:v>Mantenimiento</x:v>
      </x:c>
      <x:c r="D18" s="6" t="str">
        <x:v>Horas/mes</x:v>
      </x:c>
      <x:c r="E18" s="6" t="str">
        <x:v>PEN/h</x:v>
      </x:c>
      <x:c r="F18" s="6" t="str">
        <x:v>PEN/mes</x:v>
      </x:c>
      <x:c r="G18" s="6" t="str">
        <x:v>PEN/año</x:v>
      </x:c>
      <x:c r="H18" s="1"/>
      <x:c r="I18" s="1"/>
      <x:c r="J18" s="1"/>
    </x:row>
    <x:row r="19" ht="25" customHeight="1">
      <x:c r="A19" s="1"/>
      <x:c r="B19" s="1"/>
      <x:c r="C19" s="23" t="str">
        <x:v>Bolsa contratada</x:v>
      </x:c>
      <x:c r="D19" s="34" t="n">
        <x:f>'Supuestos'!D11</x:f>
        <x:v>16</x:v>
      </x:c>
      <x:c r="E19" s="35" t="n">
        <x:f>'Supuestos'!D10</x:f>
        <x:v>120</x:v>
      </x:c>
      <x:c r="F19" s="27" t="n">
        <x:f>D19*E19</x:f>
        <x:v>1920</x:v>
      </x:c>
      <x:c r="G19" s="35" t="n">
        <x:f>F19*'Supuestos'!D7</x:f>
        <x:v>23040</x:v>
      </x:c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40" customHeight="1">
      <x:c r="A21" s="1"/>
      <x:c r="B21" s="1"/>
      <x:c r="C21" s="17" t="str">
        <x:v>Incluye revisión de consumos y respaldos, dependencias, correctivos menores y prueba trimestral de recuperación.</x:v>
      </x:c>
      <x:c r="D21" s="17"/>
      <x:c r="E21" s="17"/>
      <x:c r="F21" s="17"/>
      <x:c r="G21" s="17"/>
      <x:c r="H21" s="17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40" customHeight="1">
      <x:c r="A23" s="1"/>
      <x:c r="B23" s="1"/>
      <x:c r="C23" s="17" t="str">
        <x:v>Horario acordado. Sin cobertura 24/7. Las mejoras mayores consumen una bolsa adicional o un proyecto separado.</x:v>
      </x:c>
      <x:c r="D23" s="17"/>
      <x:c r="E23" s="17"/>
      <x:c r="F23" s="17"/>
      <x:c r="G23" s="17"/>
      <x:c r="H23" s="17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30" customHeight="1">
      <x:c r="A26" s="1"/>
      <x:c r="B26" s="1"/>
      <x:c r="C26" s="6" t="str">
        <x:v>Alcances alternativos</x:v>
      </x:c>
      <x:c r="D26" s="6" t="str">
        <x:v>Horas mín.</x:v>
      </x:c>
      <x:c r="E26" s="6" t="str">
        <x:v>Horas máx.</x:v>
      </x:c>
      <x:c r="F26" s="6" t="str">
        <x:v>PEN mín.</x:v>
      </x:c>
      <x:c r="G26" s="6" t="str">
        <x:v>PEN máx.</x:v>
      </x:c>
      <x:c r="H26" s="1"/>
      <x:c r="I26" s="1"/>
      <x:c r="J26" s="1"/>
    </x:row>
    <x:row r="27" ht="25" customHeight="1">
      <x:c r="A27" s="1"/>
      <x:c r="B27" s="1"/>
      <x:c r="C27" s="1" t="str">
        <x:v>Solo puesta en producción</x:v>
      </x:c>
      <x:c r="D27" s="8" t="n">
        <x:v>48</x:v>
      </x:c>
      <x:c r="E27" s="8" t="n">
        <x:v>80</x:v>
      </x:c>
      <x:c r="F27" s="25" t="n">
        <x:f>D27*'Supuestos'!D9</x:f>
        <x:v>5760</x:v>
      </x:c>
      <x:c r="G27" s="25" t="n">
        <x:f>E27*'Supuestos'!D9</x:f>
        <x:v>9600</x:v>
      </x:c>
      <x:c r="H27" s="1"/>
      <x:c r="I27" s="1"/>
      <x:c r="J27" s="1"/>
    </x:row>
    <x:row r="28" ht="25" customHeight="1">
      <x:c r="A28" s="1"/>
      <x:c r="B28" s="1"/>
      <x:c r="C28" s="1" t="str">
        <x:v>Completar release existente</x:v>
      </x:c>
      <x:c r="D28" s="8" t="n">
        <x:v>160</x:v>
      </x:c>
      <x:c r="E28" s="8" t="n">
        <x:v>240</x:v>
      </x:c>
      <x:c r="F28" s="25" t="n">
        <x:f>D28*'Supuestos'!D9</x:f>
        <x:v>19200</x:v>
      </x:c>
      <x:c r="G28" s="25" t="n">
        <x:f>E28*'Supuestos'!D9</x:f>
        <x:v>28800</x:v>
      </x:c>
      <x:c r="H28" s="1"/>
      <x:c r="I28" s="1"/>
      <x:c r="J28" s="1"/>
    </x:row>
    <x:row r="29" ht="25" customHeight="1">
      <x:c r="A29" s="1"/>
      <x:c r="B29" s="1"/>
      <x:c r="C29" s="1" t="str">
        <x:v>Construcción equivalente desde cero</x:v>
      </x:c>
      <x:c r="D29" s="8" t="n">
        <x:v>400</x:v>
      </x:c>
      <x:c r="E29" s="8" t="n">
        <x:v>640</x:v>
      </x:c>
      <x:c r="F29" s="25" t="n">
        <x:f>D29*'Supuestos'!D9</x:f>
        <x:v>48000</x:v>
      </x:c>
      <x:c r="G29" s="25" t="n">
        <x:f>E29*'Supuestos'!D9</x:f>
        <x:v>76800</x:v>
      </x:c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40" customHeight="1">
      <x:c r="A31" s="1"/>
      <x:c r="B31" s="1"/>
      <x:c r="C31" s="17" t="str">
        <x:v>Alternativas no acumulables. Rangos sin contingencia. El presupuesto base utiliza las 200 horas desglosadas arriba.</x:v>
      </x:c>
      <x:c r="D31" s="17"/>
      <x:c r="E31" s="17"/>
      <x:c r="F31" s="17"/>
      <x:c r="G31" s="17"/>
      <x:c r="H31" s="17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5" customHeight="1">
      <x:c r="A34" s="1"/>
      <x:c r="B34" s="1"/>
      <x:c r="C34" s="1" t="str">
        <x:v>Costo interno ilustrativo por hora</x:v>
      </x:c>
      <x:c r="D34" s="1"/>
      <x:c r="E34" s="1"/>
      <x:c r="F34" s="25" t="n">
        <x:f>'Supuestos'!D36*'Supuestos'!D37/'Supuestos'!D38</x:f>
        <x:v>72.5</x:v>
      </x:c>
      <x:c r="G34" s="1" t="str">
        <x:v>PEN/h</x:v>
      </x:c>
      <x:c r="H34" s="1"/>
      <x:c r="I34" s="1"/>
      <x:c r="J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40" customHeight="1">
      <x:c r="A36" s="1"/>
      <x:c r="B36" s="1"/>
      <x:c r="C36" s="17" t="str">
        <x:v>Costo interno: sueldo × factor empresarial / horas. No es una tarifa de BCP ni una cotización de proveedor.</x:v>
      </x:c>
      <x:c r="D36" s="17"/>
      <x:c r="E36" s="17"/>
      <x:c r="F36" s="17"/>
      <x:c r="G36" s="17"/>
      <x:c r="H36" s="17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40" customHeight="1">
      <x:c r="A38" s="1"/>
      <x:c r="B38" s="1"/>
      <x:c r="C38" s="17" t="str">
        <x:v>El alcance no incluye nuevos módulos mayores ni el levantamiento y digitación integral de los 147 Building Blocks.</x:v>
      </x:c>
      <x:c r="D38" s="17"/>
      <x:c r="E38" s="17"/>
      <x:c r="F38" s="17"/>
      <x:c r="G38" s="17"/>
      <x:c r="H38" s="17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</x:sheetData>
  <x:mergeCells>
    <x:mergeCell ref="C21:H21"/>
    <x:mergeCell ref="C23:H23"/>
    <x:mergeCell ref="C31:H31"/>
    <x:mergeCell ref="C36:H36"/>
    <x:mergeCell ref="C38:H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199A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Capacidad y política de recuperación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"/>
      <x:c r="B5" s="1"/>
      <x:c r="C5" s="6" t="str">
        <x:v>Volumen modelado</x:v>
      </x:c>
      <x:c r="D5" s="6" t="str">
        <x:v>Cantidad</x:v>
      </x:c>
      <x:c r="E5" s="6" t="str">
        <x:v>Unidad</x:v>
      </x:c>
      <x:c r="F5" s="1"/>
      <x:c r="G5" s="1"/>
      <x:c r="H5" s="1"/>
      <x:c r="I5" s="1"/>
      <x:c r="J5" s="1"/>
    </x:row>
    <x:row r="6" ht="25" customHeight="1">
      <x:c r="A6" s="1"/>
      <x:c r="B6" s="1"/>
      <x:c r="C6" s="1" t="str">
        <x:v>Building Blocks</x:v>
      </x:c>
      <x:c r="D6" s="36" t="n">
        <x:f>'Supuestos'!D25</x:f>
        <x:v>147</x:v>
      </x:c>
      <x:c r="E6" s="1" t="str">
        <x:v>registros</x:v>
      </x:c>
      <x:c r="F6" s="1"/>
      <x:c r="G6" s="1"/>
      <x:c r="H6" s="1"/>
      <x:c r="I6" s="1"/>
      <x:c r="J6" s="1"/>
    </x:row>
    <x:row r="7" ht="25" customHeight="1">
      <x:c r="A7" s="1"/>
      <x:c r="B7" s="1"/>
      <x:c r="C7" s="1" t="str">
        <x:v>Capacidades</x:v>
      </x:c>
      <x:c r="D7" s="36" t="n">
        <x:f>D6*'Supuestos'!D27</x:f>
        <x:v>735</x:v>
      </x:c>
      <x:c r="E7" s="1" t="str">
        <x:v>registros</x:v>
      </x:c>
      <x:c r="F7" s="1"/>
      <x:c r="G7" s="1"/>
      <x:c r="H7" s="1"/>
      <x:c r="I7" s="1"/>
      <x:c r="J7" s="1"/>
    </x:row>
    <x:row r="8" ht="25" customHeight="1">
      <x:c r="A8" s="1"/>
      <x:c r="B8" s="1"/>
      <x:c r="C8" s="1" t="str">
        <x:v>Funcionalidades</x:v>
      </x:c>
      <x:c r="D8" s="36" t="n">
        <x:f>D7*'Supuestos'!D28</x:f>
        <x:v>5880</x:v>
      </x:c>
      <x:c r="E8" s="1" t="str">
        <x:v>registros</x:v>
      </x:c>
      <x:c r="F8" s="1"/>
      <x:c r="G8" s="1"/>
      <x:c r="H8" s="1"/>
      <x:c r="I8" s="1"/>
      <x:c r="J8" s="1"/>
    </x:row>
    <x:row r="9" ht="25" customHeight="1">
      <x:c r="A9" s="1"/>
      <x:c r="B9" s="1"/>
      <x:c r="C9" s="1" t="str">
        <x:v>Relaciones empresa–BB</x:v>
      </x:c>
      <x:c r="D9" s="36" t="n">
        <x:f>D6*'Supuestos'!D26</x:f>
        <x:v>1470</x:v>
      </x:c>
      <x:c r="E9" s="1" t="str">
        <x:v>registros</x:v>
      </x:c>
      <x:c r="F9" s="1"/>
      <x:c r="G9" s="1"/>
      <x:c r="H9" s="1"/>
      <x:c r="I9" s="1"/>
      <x:c r="J9" s="1"/>
    </x:row>
    <x:row r="10" ht="25" customHeight="1">
      <x:c r="A10" s="1"/>
      <x:c r="B10" s="1"/>
      <x:c r="C10" s="1" t="str">
        <x:v>Implementaciones</x:v>
      </x:c>
      <x:c r="D10" s="36" t="n">
        <x:f>D9*'Supuestos'!D29</x:f>
        <x:v>2940</x:v>
      </x:c>
      <x:c r="E10" s="1" t="str">
        <x:v>registros</x:v>
      </x:c>
      <x:c r="F10" s="1"/>
      <x:c r="G10" s="1"/>
      <x:c r="H10" s="1"/>
      <x:c r="I10" s="1"/>
      <x:c r="J10" s="1"/>
    </x:row>
    <x:row r="11" ht="25" customHeight="1">
      <x:c r="A11" s="1"/>
      <x:c r="B11" s="1"/>
      <x:c r="C11" s="1" t="str">
        <x:v>Evaluaciones</x:v>
      </x:c>
      <x:c r="D11" s="36" t="n">
        <x:f>D10*'Supuestos'!D30</x:f>
        <x:v>88200</x:v>
      </x:c>
      <x:c r="E11" s="1" t="str">
        <x:v>registros</x:v>
      </x:c>
      <x:c r="F11" s="1"/>
      <x:c r="G11" s="1"/>
      <x:c r="H11" s="1"/>
      <x:c r="I11" s="1"/>
      <x:c r="J11" s="1"/>
    </x:row>
    <x:row r="12" ht="25" customHeight="1">
      <x:c r="A12" s="1"/>
      <x:c r="B12" s="1"/>
      <x:c r="C12" s="1" t="str">
        <x:v>Eventos de auditoría por año</x:v>
      </x:c>
      <x:c r="D12" s="36" t="n">
        <x:f>'Supuestos'!D24*'Supuestos'!D31*'Supuestos'!D32</x:f>
        <x:v>112500</x:v>
      </x:c>
      <x:c r="E12" s="1" t="str">
        <x:v>eventos</x:v>
      </x:c>
      <x:c r="F12" s="1"/>
      <x:c r="G12" s="1"/>
      <x:c r="H12" s="1"/>
      <x:c r="I12" s="1"/>
      <x:c r="J12" s="1"/>
    </x:row>
    <x:row r="13" ht="25" customHeight="1">
      <x:c r="A13" s="1"/>
      <x:c r="B13" s="1"/>
      <x:c r="C13" s="1" t="str">
        <x:v>Evaluaciones, volumen bruto</x:v>
      </x:c>
      <x:c r="D13" s="37" t="n">
        <x:f>D11*'Supuestos'!D33/1000</x:f>
        <x:v>176.4</x:v>
      </x:c>
      <x:c r="E13" s="1" t="str">
        <x:v>MB</x:v>
      </x:c>
      <x:c r="F13" s="1"/>
      <x:c r="G13" s="1"/>
      <x:c r="H13" s="1"/>
      <x:c r="I13" s="1"/>
      <x:c r="J13" s="1"/>
    </x:row>
    <x:row r="14" ht="25" customHeight="1">
      <x:c r="A14" s="1"/>
      <x:c r="B14" s="1"/>
      <x:c r="C14" s="1" t="str">
        <x:v>Auditoría anual, volumen bruto</x:v>
      </x:c>
      <x:c r="D14" s="37" t="n">
        <x:f>D12*'Supuestos'!D33/1000</x:f>
        <x:v>225</x:v>
      </x:c>
      <x:c r="E14" s="1" t="str">
        <x:v>MB</x:v>
      </x:c>
      <x:c r="F14" s="1"/>
      <x:c r="G14" s="1"/>
      <x:c r="H14" s="1"/>
      <x:c r="I14" s="1"/>
      <x:c r="J14" s="1"/>
    </x:row>
    <x:row r="15" ht="25" customHeight="1">
      <x:c r="A15" s="1"/>
      <x:c r="B15" s="1"/>
      <x:c r="C15" s="1" t="str">
        <x:v>Documentos</x:v>
      </x:c>
      <x:c r="D15" s="37" t="n">
        <x:f>D9*'Supuestos'!D34*'Supuestos'!D35/1000</x:f>
        <x:v>8.82</x:v>
      </x:c>
      <x:c r="E15" s="1" t="str">
        <x:v>GB</x:v>
      </x:c>
      <x:c r="F15" s="1"/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30" customHeight="1">
      <x:c r="A18" s="1"/>
      <x:c r="B18" s="1"/>
      <x:c r="C18" s="6" t="str">
        <x:v>Reserva de capacidad</x:v>
      </x:c>
      <x:c r="D18" s="6" t="str">
        <x:v>Referencia</x:v>
      </x:c>
      <x:c r="E18" s="6" t="str">
        <x:v>Alcance</x:v>
      </x:c>
      <x:c r="F18" s="1"/>
      <x:c r="G18" s="1"/>
      <x:c r="H18" s="1"/>
      <x:c r="I18" s="1"/>
      <x:c r="J18" s="1"/>
    </x:row>
    <x:row r="19" ht="25" customHeight="1">
      <x:c r="A19" s="1"/>
      <x:c r="B19" s="1"/>
      <x:c r="C19" s="1" t="str">
        <x:v>SQL, primer año</x:v>
      </x:c>
      <x:c r="D19" s="1" t="str">
        <x:v>1–3 GB</x:v>
      </x:c>
      <x:c r="E19" s="1" t="str">
        <x:v>Estimación</x:v>
      </x:c>
      <x:c r="F19" s="1"/>
      <x:c r="G19" s="1"/>
      <x:c r="H19" s="1"/>
      <x:c r="I19" s="1"/>
      <x:c r="J19" s="1"/>
    </x:row>
    <x:row r="20" ht="25" customHeight="1">
      <x:c r="A20" s="1"/>
      <x:c r="B20" s="1"/>
      <x:c r="C20" s="1" t="str">
        <x:v>SQL, capacidad de planificación</x:v>
      </x:c>
      <x:c r="D20" s="1" t="str">
        <x:v>10 GB</x:v>
      </x:c>
      <x:c r="E20" s="1" t="str">
        <x:v>Datos e índices</x:v>
      </x:c>
      <x:c r="F20" s="1"/>
      <x:c r="G20" s="1"/>
      <x:c r="H20" s="1"/>
      <x:c r="I20" s="1"/>
      <x:c r="J20" s="1"/>
    </x:row>
    <x:row r="21" ht="25" customHeight="1">
      <x:c r="A21" s="1"/>
      <x:c r="B21" s="1"/>
      <x:c r="C21" s="1" t="str">
        <x:v>SQL S2, almacenamiento incluido</x:v>
      </x:c>
      <x:c r="D21" s="1" t="str">
        <x:v>250 GB</x:v>
      </x:c>
      <x:c r="E21" s="1" t="str">
        <x:v>Cuota del servicio</x:v>
      </x:c>
      <x:c r="F21" s="1"/>
      <x:c r="G21" s="1"/>
      <x:c r="H21" s="1"/>
      <x:c r="I21" s="1"/>
      <x:c r="J21" s="1"/>
    </x:row>
    <x:row r="22" ht="25" customHeight="1">
      <x:c r="A22" s="1"/>
      <x:c r="B22" s="1"/>
      <x:c r="C22" s="1" t="str">
        <x:v>Blob, capacidad inicial</x:v>
      </x:c>
      <x:c r="D22" s="1" t="str">
        <x:v>20 GB</x:v>
      </x:c>
      <x:c r="E22" s="1" t="str">
        <x:v>Adjuntos separados</x:v>
      </x:c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40" customHeight="1">
      <x:c r="A24" s="1"/>
      <x:c r="B24" s="1"/>
      <x:c r="C24" s="17" t="str">
        <x:v>Volumen estimado, no medición de la BD. 10 empresas y densidades son supuestos. El log actual no mide datos de negocio.</x:v>
      </x:c>
      <x:c r="D24" s="17"/>
      <x:c r="E24" s="17"/>
      <x:c r="F24" s="17"/>
      <x:c r="G24" s="17"/>
      <x:c r="H24" s="17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30" customHeight="1">
      <x:c r="A27" s="1"/>
      <x:c r="B27" s="1"/>
      <x:c r="C27" s="6" t="str">
        <x:v>Política</x:v>
      </x:c>
      <x:c r="D27" s="6" t="str">
        <x:v>Producción</x:v>
      </x:c>
      <x:c r="E27" s="6" t="str">
        <x:v>Desarrollo</x:v>
      </x:c>
      <x:c r="F27" s="1"/>
      <x:c r="G27" s="1"/>
      <x:c r="H27" s="1"/>
      <x:c r="I27" s="1"/>
      <x:c r="J27" s="1"/>
    </x:row>
    <x:row r="28" ht="34" customHeight="1">
      <x:c r="A28" s="1"/>
      <x:c r="B28" s="1"/>
      <x:c r="C28" s="16" t="str">
        <x:v>PITR</x:v>
      </x:c>
      <x:c r="D28" s="16" t="str">
        <x:v>35 días</x:v>
      </x:c>
      <x:c r="E28" s="16" t="str">
        <x:v>7 días, oferta free</x:v>
      </x:c>
      <x:c r="F28" s="1"/>
      <x:c r="G28" s="1"/>
      <x:c r="H28" s="1"/>
      <x:c r="I28" s="1"/>
      <x:c r="J28" s="1"/>
    </x:row>
    <x:row r="29" ht="34" customHeight="1">
      <x:c r="A29" s="1"/>
      <x:c r="B29" s="1"/>
      <x:c r="C29" s="16" t="str">
        <x:v>LTR</x:v>
      </x:c>
      <x:c r="D29" s="16" t="str">
        <x:v>Mensual, 12 meses</x:v>
      </x:c>
      <x:c r="E29" s="16" t="str">
        <x:v>No incluido</x:v>
      </x:c>
      <x:c r="F29" s="1"/>
      <x:c r="G29" s="1"/>
      <x:c r="H29" s="1"/>
      <x:c r="I29" s="1"/>
      <x:c r="J29" s="1"/>
    </x:row>
    <x:row r="30" ht="34" customHeight="1">
      <x:c r="A30" s="1"/>
      <x:c r="B30" s="1"/>
      <x:c r="C30" s="16" t="str">
        <x:v>Prueba de recuperación</x:v>
      </x:c>
      <x:c r="D30" s="16" t="str">
        <x:v>Trimestral</x:v>
      </x:c>
      <x:c r="E30" s="16" t="str">
        <x:v>Prueba funcional</x:v>
      </x:c>
      <x:c r="F30" s="1"/>
      <x:c r="G30" s="1"/>
      <x:c r="H30" s="1"/>
      <x:c r="I30" s="1"/>
      <x:c r="J30" s="1"/>
    </x:row>
    <x:row r="31" ht="34" customHeight="1">
      <x:c r="A31" s="1"/>
      <x:c r="B31" s="1"/>
      <x:c r="C31" s="16" t="str">
        <x:v>Restore</x:v>
      </x:c>
      <x:c r="D31" s="16" t="str">
        <x:v>Nueva BD temporal</x:v>
      </x:c>
      <x:c r="E31" s="16" t="str">
        <x:v>Carga lógica en free</x:v>
      </x:c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40" customHeight="1">
      <x:c r="A33" s="1"/>
      <x:c r="B33" s="1"/>
      <x:c r="C33" s="17" t="str">
        <x:v>Azure SQL no ejecuta el procedimiento .bak del VPS. PITR crea una nueva base. Free no recibe restore directo de otra base.</x:v>
      </x:c>
      <x:c r="D33" s="17"/>
      <x:c r="E33" s="17"/>
      <x:c r="F33" s="17"/>
      <x:c r="G33" s="17"/>
      <x:c r="H33" s="17"/>
      <x:c r="I33" s="1"/>
      <x:c r="J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40" customHeight="1">
      <x:c r="A35" s="1"/>
      <x:c r="B35" s="1"/>
      <x:c r="C35" s="17" t="str">
        <x:v>La estimación de 1–3 GB incluye margen para índices e historial. No se deriva automáticamente de las densidades parciales.</x:v>
      </x:c>
      <x:c r="D35" s="17"/>
      <x:c r="E35" s="17"/>
      <x:c r="F35" s="17"/>
      <x:c r="G35" s="17"/>
      <x:c r="H35" s="17"/>
      <x:c r="I35" s="1"/>
      <x:c r="J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C24:H24"/>
    <x:mergeCell ref="C33:H33"/>
    <x:mergeCell ref="C35:H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35E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7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2" t="str">
        <x:v>Supuestos editables y fuentes</x:v>
      </x:c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 t="str">
        <x:v>Sistema productivo seleccionado</x:v>
      </x:c>
      <x:c r="D3" s="3" t="str">
        <x:f>IF('Supuestos'!D5=1,"Windows","Linux")</x:f>
        <x:v>Windows</x:v>
      </x:c>
      <x:c r="E3" s="1"/>
      <x:c r="F3" s="1"/>
      <x:c r="G3" s="1"/>
      <x:c r="H3" s="1"/>
      <x:c r="I3" s="1"/>
      <x:c r="J3" s="1"/>
    </x:row>
    <x:row r="4" ht="30" customHeight="1">
      <x:c r="A4" s="1"/>
      <x:c r="B4" s="1"/>
      <x:c r="C4" s="6" t="str">
        <x:v>Parámetro</x:v>
      </x:c>
      <x:c r="D4" s="6" t="str">
        <x:v>Valor</x:v>
      </x:c>
      <x:c r="E4" s="6" t="str">
        <x:v>Unidad</x:v>
      </x:c>
      <x:c r="F4" s="6" t="str">
        <x:v>Naturaleza</x:v>
      </x:c>
      <x:c r="G4" s="1"/>
      <x:c r="H4" s="1"/>
      <x:c r="I4" s="1"/>
      <x:c r="J4" s="1" t="str">
        <x:v>Fuentes y alcance de los valores</x:v>
      </x:c>
    </x:row>
    <x:row r="5" ht="25" customHeight="1">
      <x:c r="A5" s="1"/>
      <x:c r="B5" s="1"/>
      <x:c r="C5" s="1" t="str">
        <x:v>Sistema productivo</x:v>
      </x:c>
      <x:c r="D5" s="11" t="n">
        <x:v>1</x:v>
      </x:c>
      <x:c r="E5" s="1" t="str">
        <x:v>1 Windows / 2 Linux</x:v>
      </x:c>
      <x:c r="F5" s="1" t="str">
        <x:v>Selección</x:v>
      </x:c>
      <x:c r="G5" s="1"/>
      <x:c r="H5" s="1"/>
      <x:c r="I5" s="1"/>
      <x:c r="J5" s="1"/>
    </x:row>
    <x:row r="6" ht="25" customHeight="1">
      <x:c r="A6" s="1"/>
      <x:c r="B6" s="1"/>
      <x:c r="C6" s="1" t="str">
        <x:v>Tipo de cambio</x:v>
      </x:c>
      <x:c r="D6" s="9" t="n">
        <x:v>3.8</x:v>
      </x:c>
      <x:c r="E6" s="1" t="str">
        <x:v>PEN por USD</x:v>
      </x:c>
      <x:c r="F6" s="1" t="str">
        <x:v>Supuesto</x:v>
      </x:c>
      <x:c r="G6" s="1"/>
      <x:c r="H6" s="1"/>
      <x:c r="I6" s="1"/>
      <x:c r="J6" s="1" t="str">
        <x:v>Tarifas Azure</x:v>
      </x:c>
    </x:row>
    <x:row r="7" ht="25" customHeight="1">
      <x:c r="A7" s="1"/>
      <x:c r="B7" s="1"/>
      <x:c r="C7" s="1" t="str">
        <x:v>Meses de operación</x:v>
      </x:c>
      <x:c r="D7" s="9" t="n">
        <x:v>12</x:v>
      </x:c>
      <x:c r="E7" s="1" t="str">
        <x:v>meses</x:v>
      </x:c>
      <x:c r="F7" s="1" t="str">
        <x:v>Supuesto</x:v>
      </x:c>
      <x:c r="G7" s="1"/>
      <x:c r="H7" s="1"/>
      <x:c r="I7" s="1"/>
      <x:c r="J7" s="1" t="str">
        <x:v>Consulta previa 19/09/2026. South Central US, consumo, USD.</x:v>
      </x:c>
    </x:row>
    <x:row r="8" ht="34" customHeight="1">
      <x:c r="A8" s="1"/>
      <x:c r="B8" s="1"/>
      <x:c r="C8" s="1" t="str">
        <x:v>Horas Azure por mes</x:v>
      </x:c>
      <x:c r="D8" s="9" t="n">
        <x:v>730</x:v>
      </x:c>
      <x:c r="E8" s="1" t="str">
        <x:v>horas</x:v>
      </x:c>
      <x:c r="F8" s="1" t="str">
        <x:v>Referencia</x:v>
      </x:c>
      <x:c r="G8" s="1"/>
      <x:c r="H8" s="1"/>
      <x:c r="I8" s="1"/>
      <x:c r="J8" s="15" t="str">
        <x:v>https://prices.azure.com/api/retail/prices</x:v>
      </x:c>
    </x:row>
    <x:row r="9" ht="25" customHeight="1">
      <x:c r="A9" s="1"/>
      <x:c r="B9" s="1"/>
      <x:c r="C9" s="1" t="str">
        <x:v>Tarifa desarrollo externo</x:v>
      </x:c>
      <x:c r="D9" s="9" t="n">
        <x:v>120</x:v>
      </x:c>
      <x:c r="E9" s="1" t="str">
        <x:v>PEN / hora</x:v>
      </x:c>
      <x:c r="F9" s="1" t="str">
        <x:v>Supuesto</x:v>
      </x:c>
      <x:c r="G9" s="1"/>
      <x:c r="H9" s="1"/>
      <x:c r="I9" s="1"/>
      <x:c r="J9" s="1"/>
    </x:row>
    <x:row r="10" ht="25" customHeight="1">
      <x:c r="A10" s="1"/>
      <x:c r="B10" s="1"/>
      <x:c r="C10" s="1" t="str">
        <x:v>Tarifa mantenimiento</x:v>
      </x:c>
      <x:c r="D10" s="9" t="n">
        <x:v>120</x:v>
      </x:c>
      <x:c r="E10" s="1" t="str">
        <x:v>PEN / hora</x:v>
      </x:c>
      <x:c r="F10" s="1" t="str">
        <x:v>Supuesto</x:v>
      </x:c>
      <x:c r="G10" s="1"/>
      <x:c r="H10" s="1"/>
      <x:c r="I10" s="1"/>
      <x:c r="J10" s="1" t="str">
        <x:v>Oferta SQL gratuita</x:v>
      </x:c>
    </x:row>
    <x:row r="11" ht="25" customHeight="1">
      <x:c r="A11" s="1"/>
      <x:c r="B11" s="1"/>
      <x:c r="C11" s="1" t="str">
        <x:v>Horas mantenimiento mensual</x:v>
      </x:c>
      <x:c r="D11" s="9" t="n">
        <x:v>16</x:v>
      </x:c>
      <x:c r="E11" s="1" t="str">
        <x:v>horas / mes</x:v>
      </x:c>
      <x:c r="F11" s="1" t="str">
        <x:v>Supuesto</x:v>
      </x:c>
      <x:c r="G11" s="1"/>
      <x:c r="H11" s="1"/>
      <x:c r="I11" s="1"/>
      <x:c r="J11" s="1" t="str">
        <x:v>32 GB datos y backups. 100.000 s-vCore/mes. Límites de restauración.</x:v>
      </x:c>
    </x:row>
    <x:row r="12" ht="34" customHeight="1">
      <x:c r="A12" s="1"/>
      <x:c r="B12" s="1"/>
      <x:c r="C12" s="1" t="str">
        <x:v>Contingencia implementación</x:v>
      </x:c>
      <x:c r="D12" s="13" t="n">
        <x:v>0.2</x:v>
      </x:c>
      <x:c r="E12" s="1" t="str">
        <x:v>porcentaje</x:v>
      </x:c>
      <x:c r="F12" s="1" t="str">
        <x:v>Supuesto</x:v>
      </x:c>
      <x:c r="G12" s="1"/>
      <x:c r="H12" s="1"/>
      <x:c r="I12" s="1"/>
      <x:c r="J12" s="15" t="str">
        <x:v>https://learn.microsoft.com/en-us/azure/azure-sql/database/free-offer?view=azuresql</x:v>
      </x:c>
    </x:row>
    <x:row r="13" ht="25" customHeight="1">
      <x:c r="A13" s="1"/>
      <x:c r="B13" s="1"/>
      <x:c r="C13" s="1" t="str">
        <x:v>App B1 Windows</x:v>
      </x:c>
      <x:c r="D13" s="10" t="n">
        <x:v>0.075</x:v>
      </x:c>
      <x:c r="E13" s="1" t="str">
        <x:v>USD / hora</x:v>
      </x:c>
      <x:c r="F13" s="1" t="str">
        <x:v>Precio público</x:v>
      </x:c>
      <x:c r="G13" s="1"/>
      <x:c r="H13" s="1"/>
      <x:c r="I13" s="1"/>
      <x:c r="J13" s="1"/>
    </x:row>
    <x:row r="14" ht="25" customHeight="1">
      <x:c r="A14" s="1"/>
      <x:c r="B14" s="1"/>
      <x:c r="C14" s="1" t="str">
        <x:v>App B1 Linux</x:v>
      </x:c>
      <x:c r="D14" s="10" t="n">
        <x:v>0.018</x:v>
      </x:c>
      <x:c r="E14" s="1" t="str">
        <x:v>USD / hora</x:v>
      </x:c>
      <x:c r="F14" s="1" t="str">
        <x:v>Precio público</x:v>
      </x:c>
      <x:c r="G14" s="1"/>
      <x:c r="H14" s="1"/>
      <x:c r="I14" s="1"/>
      <x:c r="J14" s="1" t="str">
        <x:v>App Service F1</x:v>
      </x:c>
    </x:row>
    <x:row r="15" ht="25" customHeight="1">
      <x:c r="A15" s="1"/>
      <x:c r="B15" s="1"/>
      <x:c r="C15" s="1" t="str">
        <x:v>SQL S2</x:v>
      </x:c>
      <x:c r="D15" s="10" t="n">
        <x:v>2.42</x:v>
      </x:c>
      <x:c r="E15" s="1" t="str">
        <x:v>USD / día</x:v>
      </x:c>
      <x:c r="F15" s="1" t="str">
        <x:v>Precio público</x:v>
      </x:c>
      <x:c r="G15" s="1"/>
      <x:c r="H15" s="1"/>
      <x:c r="I15" s="1"/>
      <x:c r="J15" s="1" t="str">
        <x:v>60 min CPU/día. 1 GB RAM. Sin SLA.</x:v>
      </x:c>
    </x:row>
    <x:row r="16" ht="34" customHeight="1">
      <x:c r="A16" s="1"/>
      <x:c r="B16" s="1"/>
      <x:c r="C16" s="1" t="str">
        <x:v>SQL S0, alternativa DEV</x:v>
      </x:c>
      <x:c r="D16" s="10" t="n">
        <x:v>0.4839</x:v>
      </x:c>
      <x:c r="E16" s="1" t="str">
        <x:v>USD / día</x:v>
      </x:c>
      <x:c r="F16" s="1" t="str">
        <x:v>Precio público</x:v>
      </x:c>
      <x:c r="G16" s="1"/>
      <x:c r="H16" s="1"/>
      <x:c r="I16" s="1"/>
      <x:c r="J16" s="15" t="str">
        <x:v>https://azure.microsoft.com/en-us/pricing/details/app-service/windows/</x:v>
      </x:c>
    </x:row>
    <x:row r="17" ht="25" customHeight="1">
      <x:c r="A17" s="1"/>
      <x:c r="B17" s="1"/>
      <x:c r="C17" s="1" t="str">
        <x:v>Reserva LTR producción</x:v>
      </x:c>
      <x:c r="D17" s="9" t="n">
        <x:v>10</x:v>
      </x:c>
      <x:c r="E17" s="1" t="str">
        <x:v>USD / mes</x:v>
      </x:c>
      <x:c r="F17" s="1" t="str">
        <x:v>Provisión</x:v>
      </x:c>
      <x:c r="G17" s="1"/>
      <x:c r="H17" s="1"/>
      <x:c r="I17" s="1"/>
      <x:c r="J17" s="1"/>
    </x:row>
    <x:row r="18" ht="25" customHeight="1">
      <x:c r="A18" s="1"/>
      <x:c r="B18" s="1"/>
      <x:c r="C18" s="1" t="str">
        <x:v>Reserva restauración temporal</x:v>
      </x:c>
      <x:c r="D18" s="9" t="n">
        <x:v>5</x:v>
      </x:c>
      <x:c r="E18" s="1" t="str">
        <x:v>USD / mes</x:v>
      </x:c>
      <x:c r="F18" s="1" t="str">
        <x:v>Provisión</x:v>
      </x:c>
      <x:c r="G18" s="1"/>
      <x:c r="H18" s="1"/>
      <x:c r="I18" s="1"/>
      <x:c r="J18" s="1" t="str">
        <x:v>Backups</x:v>
      </x:c>
    </x:row>
    <x:row r="19" ht="25" customHeight="1">
      <x:c r="A19" s="1"/>
      <x:c r="B19" s="1"/>
      <x:c r="C19" s="1" t="str">
        <x:v>Blob producción</x:v>
      </x:c>
      <x:c r="D19" s="9" t="n">
        <x:v>3</x:v>
      </x:c>
      <x:c r="E19" s="1" t="str">
        <x:v>USD / mes</x:v>
      </x:c>
      <x:c r="F19" s="1" t="str">
        <x:v>Provisión</x:v>
      </x:c>
      <x:c r="G19" s="1"/>
      <x:c r="H19" s="1"/>
      <x:c r="I19" s="1"/>
      <x:c r="J19" s="1" t="str">
        <x:v>PITR incluido en DTU. LTR adicional.</x:v>
      </x:c>
    </x:row>
    <x:row r="20" ht="34" customHeight="1">
      <x:c r="A20" s="1"/>
      <x:c r="B20" s="1"/>
      <x:c r="C20" s="1" t="str">
        <x:v>Monitoreo y otros producción</x:v>
      </x:c>
      <x:c r="D20" s="9" t="n">
        <x:v>7</x:v>
      </x:c>
      <x:c r="E20" s="1" t="str">
        <x:v>USD / mes</x:v>
      </x:c>
      <x:c r="F20" s="1" t="str">
        <x:v>Provisión</x:v>
      </x:c>
      <x:c r="G20" s="1"/>
      <x:c r="H20" s="1"/>
      <x:c r="I20" s="1"/>
      <x:c r="J20" s="15" t="str">
        <x:v>https://learn.microsoft.com/en-us/azure/azure-sql/database/automated-backups-overview?view=azuresql</x:v>
      </x:c>
    </x:row>
    <x:row r="21" ht="25" customHeight="1">
      <x:c r="A21" s="1"/>
      <x:c r="B21" s="1"/>
      <x:c r="C21" s="1" t="str">
        <x:v>Archivos de prueba DEV</x:v>
      </x:c>
      <x:c r="D21" s="9" t="n">
        <x:v>2</x:v>
      </x:c>
      <x:c r="E21" s="1" t="str">
        <x:v>USD / mes</x:v>
      </x:c>
      <x:c r="F21" s="1" t="str">
        <x:v>Provisión</x:v>
      </x:c>
      <x:c r="G21" s="1"/>
      <x:c r="H21" s="1"/>
      <x:c r="I21" s="1"/>
      <x:c r="J21" s="1"/>
    </x:row>
    <x:row r="22" ht="25" customHeight="1">
      <x:c r="A22" s="1"/>
      <x:c r="B22" s="1"/>
      <x:c r="C22" s="1" t="str">
        <x:v>Presupuesto Azure Windows</x:v>
      </x:c>
      <x:c r="D22" s="9" t="n">
        <x:v>170</x:v>
      </x:c>
      <x:c r="E22" s="1" t="str">
        <x:v>USD / mes</x:v>
      </x:c>
      <x:c r="F22" s="1" t="str">
        <x:v>Reserva objetivo</x:v>
      </x:c>
      <x:c r="G22" s="1"/>
      <x:c r="H22" s="1"/>
      <x:c r="I22" s="1"/>
      <x:c r="J22" s="1" t="str">
        <x:v>Recuperación</x:v>
      </x:c>
    </x:row>
    <x:row r="23" ht="25" customHeight="1">
      <x:c r="A23" s="1"/>
      <x:c r="B23" s="1"/>
      <x:c r="C23" s="1" t="str">
        <x:v>Presupuesto Azure Linux</x:v>
      </x:c>
      <x:c r="D23" s="9" t="n">
        <x:v>125</x:v>
      </x:c>
      <x:c r="E23" s="1" t="str">
        <x:v>USD / mes</x:v>
      </x:c>
      <x:c r="F23" s="1" t="str">
        <x:v>Reserva objetivo</x:v>
      </x:c>
      <x:c r="G23" s="1"/>
      <x:c r="H23" s="1"/>
      <x:c r="I23" s="1"/>
      <x:c r="J23" s="1" t="str">
        <x:v>Crea una base nueva. Factura al terminar la restauración.</x:v>
      </x:c>
    </x:row>
    <x:row r="24" ht="34" customHeight="1">
      <x:c r="A24" s="1"/>
      <x:c r="B24" s="1"/>
      <x:c r="C24" s="1" t="str">
        <x:v>Usuarios release 1</x:v>
      </x:c>
      <x:c r="D24" s="12" t="n">
        <x:v>15</x:v>
      </x:c>
      <x:c r="E24" s="1" t="str">
        <x:v>usuarios</x:v>
      </x:c>
      <x:c r="F24" s="1" t="str">
        <x:v>Dato usuario</x:v>
      </x:c>
      <x:c r="G24" s="1"/>
      <x:c r="H24" s="1"/>
      <x:c r="I24" s="1"/>
      <x:c r="J24" s="15" t="str">
        <x:v>https://learn.microsoft.com/en-us/azure/azure-sql/database/recovery-using-backups?view=azuresql</x:v>
      </x:c>
    </x:row>
    <x:row r="25" ht="25" customHeight="1">
      <x:c r="A25" s="1"/>
      <x:c r="B25" s="1"/>
      <x:c r="C25" s="1" t="str">
        <x:v>Building Blocks</x:v>
      </x:c>
      <x:c r="D25" s="12" t="n">
        <x:v>147</x:v>
      </x:c>
      <x:c r="E25" s="1" t="str">
        <x:v>registros</x:v>
      </x:c>
      <x:c r="F25" s="1" t="str">
        <x:v>Dato usuario</x:v>
      </x:c>
      <x:c r="G25" s="1"/>
      <x:c r="H25" s="1"/>
      <x:c r="I25" s="1"/>
      <x:c r="J25" s="1"/>
    </x:row>
    <x:row r="26" ht="25" customHeight="1">
      <x:c r="A26" s="1"/>
      <x:c r="B26" s="1"/>
      <x:c r="C26" s="1" t="str">
        <x:v>Empresas asociadas</x:v>
      </x:c>
      <x:c r="D26" s="12" t="n">
        <x:v>10</x:v>
      </x:c>
      <x:c r="E26" s="1" t="str">
        <x:v>empresas</x:v>
      </x:c>
      <x:c r="F26" s="1" t="str">
        <x:v>Supuesto</x:v>
      </x:c>
      <x:c r="G26" s="1"/>
      <x:c r="H26" s="1"/>
      <x:c r="I26" s="1"/>
      <x:c r="J26" s="1" t="str">
        <x:v>Salario .NET Perú</x:v>
      </x:c>
    </x:row>
    <x:row r="27" ht="25" customHeight="1">
      <x:c r="A27" s="1"/>
      <x:c r="B27" s="1"/>
      <x:c r="C27" s="1" t="str">
        <x:v>Capacidades por BB</x:v>
      </x:c>
      <x:c r="D27" s="12" t="n">
        <x:v>5</x:v>
      </x:c>
      <x:c r="E27" s="1" t="str">
        <x:v>capacidades</x:v>
      </x:c>
      <x:c r="F27" s="1" t="str">
        <x:v>Supuesto</x:v>
      </x:c>
      <x:c r="G27" s="1"/>
      <x:c r="H27" s="1"/>
      <x:c r="I27" s="1"/>
      <x:c r="J27" s="1" t="str">
        <x:v>Indeed: S/3.072/mes, 40 salarios, 07/09/2026. No es tarifa BCP.</x:v>
      </x:c>
    </x:row>
    <x:row r="28" ht="34" customHeight="1">
      <x:c r="A28" s="1"/>
      <x:c r="B28" s="1"/>
      <x:c r="C28" s="1" t="str">
        <x:v>Funcionalidades por capacidad</x:v>
      </x:c>
      <x:c r="D28" s="12" t="n">
        <x:v>8</x:v>
      </x:c>
      <x:c r="E28" s="1" t="str">
        <x:v>funcionalidades</x:v>
      </x:c>
      <x:c r="F28" s="1" t="str">
        <x:v>Supuesto</x:v>
      </x:c>
      <x:c r="G28" s="1"/>
      <x:c r="H28" s="1"/>
      <x:c r="I28" s="1"/>
      <x:c r="J28" s="15" t="str">
        <x:v>https://pe.indeed.com/career/desarrollador-.net/salaries</x:v>
      </x:c>
    </x:row>
    <x:row r="29" ht="25" customHeight="1">
      <x:c r="A29" s="1"/>
      <x:c r="B29" s="1"/>
      <x:c r="C29" s="1" t="str">
        <x:v>Tecnologías por empresa–BB</x:v>
      </x:c>
      <x:c r="D29" s="12" t="n">
        <x:v>2</x:v>
      </x:c>
      <x:c r="E29" s="1" t="str">
        <x:v>tecnologías</x:v>
      </x:c>
      <x:c r="F29" s="1" t="str">
        <x:v>Supuesto</x:v>
      </x:c>
      <x:c r="G29" s="1"/>
      <x:c r="H29" s="1"/>
      <x:c r="I29" s="1"/>
      <x:c r="J29" s="1"/>
    </x:row>
    <x:row r="30" ht="25" customHeight="1">
      <x:c r="A30" s="1"/>
      <x:c r="B30" s="1"/>
      <x:c r="C30" s="1" t="str">
        <x:v>Evaluaciones por implementación</x:v>
      </x:c>
      <x:c r="D30" s="12" t="n">
        <x:v>30</x:v>
      </x:c>
      <x:c r="E30" s="1" t="str">
        <x:v>evaluaciones</x:v>
      </x:c>
      <x:c r="F30" s="1" t="str">
        <x:v>Supuesto</x:v>
      </x:c>
      <x:c r="G30" s="1"/>
      <x:c r="H30" s="1"/>
      <x:c r="I30" s="1"/>
      <x:c r="J30" s="1" t="str">
        <x:v>SQL DTU</x:v>
      </x:c>
    </x:row>
    <x:row r="31" ht="25" customHeight="1">
      <x:c r="A31" s="1"/>
      <x:c r="B31" s="1"/>
      <x:c r="C31" s="1" t="str">
        <x:v>Eventos diarios por usuario</x:v>
      </x:c>
      <x:c r="D31" s="12" t="n">
        <x:v>30</x:v>
      </x:c>
      <x:c r="E31" s="1" t="str">
        <x:v>eventos</x:v>
      </x:c>
      <x:c r="F31" s="1" t="str">
        <x:v>Supuesto</x:v>
      </x:c>
      <x:c r="G31" s="1"/>
      <x:c r="H31" s="1"/>
      <x:c r="I31" s="1"/>
      <x:c r="J31" s="1" t="str">
        <x:v>S2: 50 DTU y 250 GB incluidos.</x:v>
      </x:c>
    </x:row>
    <x:row r="32" ht="34" customHeight="1">
      <x:c r="A32" s="1"/>
      <x:c r="B32" s="1"/>
      <x:c r="C32" s="1" t="str">
        <x:v>Días de actividad anual</x:v>
      </x:c>
      <x:c r="D32" s="12" t="n">
        <x:v>250</x:v>
      </x:c>
      <x:c r="E32" s="1" t="str">
        <x:v>días</x:v>
      </x:c>
      <x:c r="F32" s="1" t="str">
        <x:v>Supuesto</x:v>
      </x:c>
      <x:c r="G32" s="1"/>
      <x:c r="H32" s="1"/>
      <x:c r="I32" s="1"/>
      <x:c r="J32" s="15" t="str">
        <x:v>https://learn.microsoft.com/en-us/azure/azure-sql/database/resource-limits-dtu-single-databases?view=azuresql</x:v>
      </x:c>
    </x:row>
    <x:row r="33" ht="25" customHeight="1">
      <x:c r="A33" s="1"/>
      <x:c r="B33" s="1"/>
      <x:c r="C33" s="1" t="str">
        <x:v>Tamaño medio evaluación/evento</x:v>
      </x:c>
      <x:c r="D33" s="9" t="n">
        <x:v>2</x:v>
      </x:c>
      <x:c r="E33" s="1" t="str">
        <x:v>KB</x:v>
      </x:c>
      <x:c r="F33" s="1" t="str">
        <x:v>Supuesto</x:v>
      </x:c>
      <x:c r="G33" s="1"/>
      <x:c r="H33" s="1"/>
      <x:c r="I33" s="1"/>
      <x:c r="J33" s="1"/>
    </x:row>
    <x:row r="34" ht="25" customHeight="1">
      <x:c r="A34" s="1"/>
      <x:c r="B34" s="1"/>
      <x:c r="C34" s="1" t="str">
        <x:v>Documentos por empresa–BB</x:v>
      </x:c>
      <x:c r="D34" s="9" t="n">
        <x:v>3</x:v>
      </x:c>
      <x:c r="E34" s="1" t="str">
        <x:v>documentos</x:v>
      </x:c>
      <x:c r="F34" s="1" t="str">
        <x:v>Supuesto</x:v>
      </x:c>
      <x:c r="G34" s="1"/>
      <x:c r="H34" s="1"/>
      <x:c r="I34" s="1"/>
      <x:c r="J34" s="1"/>
    </x:row>
    <x:row r="35" ht="25" customHeight="1">
      <x:c r="A35" s="1"/>
      <x:c r="B35" s="1"/>
      <x:c r="C35" s="1" t="str">
        <x:v>Tamaño medio de documento</x:v>
      </x:c>
      <x:c r="D35" s="9" t="n">
        <x:v>2</x:v>
      </x:c>
      <x:c r="E35" s="1" t="str">
        <x:v>MB</x:v>
      </x:c>
      <x:c r="F35" s="1" t="str">
        <x:v>Supuesto</x:v>
      </x:c>
      <x:c r="G35" s="1"/>
      <x:c r="H35" s="1"/>
      <x:c r="I35" s="1"/>
      <x:c r="J35" s="1"/>
    </x:row>
    <x:row r="36" ht="25" customHeight="1">
      <x:c r="A36" s="1"/>
      <x:c r="B36" s="1"/>
      <x:c r="C36" s="1" t="str">
        <x:v>Salario interno ilustrativo</x:v>
      </x:c>
      <x:c r="D36" s="9" t="n">
        <x:v>8000</x:v>
      </x:c>
      <x:c r="E36" s="1" t="str">
        <x:v>PEN / mes</x:v>
      </x:c>
      <x:c r="F36" s="1" t="str">
        <x:v>Supuesto</x:v>
      </x:c>
      <x:c r="G36" s="1"/>
      <x:c r="H36" s="1"/>
      <x:c r="I36" s="1"/>
      <x:c r="J36" s="1"/>
    </x:row>
    <x:row r="37" ht="25" customHeight="1">
      <x:c r="A37" s="1"/>
      <x:c r="B37" s="1"/>
      <x:c r="C37" s="1" t="str">
        <x:v>Factor costo empresarial</x:v>
      </x:c>
      <x:c r="D37" s="9" t="n">
        <x:v>1.45</x:v>
      </x:c>
      <x:c r="E37" s="1" t="str">
        <x:v>multiplicador</x:v>
      </x:c>
      <x:c r="F37" s="1" t="str">
        <x:v>Supuesto</x:v>
      </x:c>
      <x:c r="G37" s="1"/>
      <x:c r="H37" s="1"/>
      <x:c r="I37" s="1"/>
      <x:c r="J37" s="1"/>
    </x:row>
    <x:row r="38" ht="25" customHeight="1">
      <x:c r="A38" s="1"/>
      <x:c r="B38" s="1"/>
      <x:c r="C38" s="1" t="str">
        <x:v>Horas internas por mes</x:v>
      </x:c>
      <x:c r="D38" s="9" t="n">
        <x:v>160</x:v>
      </x:c>
      <x:c r="E38" s="1" t="str">
        <x:v>horas</x:v>
      </x:c>
      <x:c r="F38" s="1" t="str">
        <x:v>Supuesto</x:v>
      </x:c>
      <x:c r="G38" s="1"/>
      <x:c r="H38" s="1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40" customHeight="1">
      <x:c r="A41" s="1"/>
      <x:c r="B41" s="1"/>
      <x:c r="C41" s="17" t="str">
        <x:v>Azul y fondo amarillo: entradas editables. Tipo de cambio de planificación, no cotización cambiaria.</x:v>
      </x:c>
      <x:c r="D41" s="17"/>
      <x:c r="E41" s="17"/>
      <x:c r="F41" s="17"/>
      <x:c r="G41" s="17"/>
      <x:c r="H41" s="17"/>
      <x:c r="I41" s="1"/>
      <x:c r="J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40" customHeight="1">
      <x:c r="A43" s="1"/>
      <x:c r="B43" s="1"/>
      <x:c r="C43" s="17" t="str">
        <x:v>Sin impuestos ni descuentos corporativos. Tarifas de mano de obra estimadas, no tarifas verificadas de BCP.</x:v>
      </x:c>
      <x:c r="D43" s="17"/>
      <x:c r="E43" s="17"/>
      <x:c r="F43" s="17"/>
      <x:c r="G43" s="17"/>
      <x:c r="H43" s="17"/>
      <x:c r="I43" s="1"/>
      <x:c r="J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40" customHeight="1">
      <x:c r="A45" s="1"/>
      <x:c r="B45" s="1"/>
      <x:c r="C45" s="17" t="str">
        <x:v>No incluidos: IDE/IA por contratar, Power BI, WAF, red privada, soporte 24/7 y contingencia multirregión.</x:v>
      </x:c>
      <x:c r="D45" s="17"/>
      <x:c r="E45" s="17"/>
      <x:c r="F45" s="17"/>
      <x:c r="G45" s="17"/>
      <x:c r="H45" s="17"/>
      <x:c r="I45" s="1"/>
      <x:c r="J45" s="1"/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40" customHeight="1">
      <x:c r="A47" s="1"/>
      <x:c r="B47" s="1"/>
      <x:c r="C47" s="17" t="str">
        <x:v>La presentación refleja el escenario inicial. Los cambios en Excel no actualizan automáticamente el PowerPoint.</x:v>
      </x:c>
      <x:c r="D47" s="17"/>
      <x:c r="E47" s="17"/>
      <x:c r="F47" s="17"/>
      <x:c r="G47" s="17"/>
      <x:c r="H47" s="17"/>
      <x:c r="I47" s="1"/>
      <x:c r="J47" s="1"/>
    </x:row>
    <x:row r="48" ht="2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C41:H41"/>
    <x:mergeCell ref="C43:H43"/>
    <x:mergeCell ref="C45:H45"/>
    <x:mergeCell ref="C47:H47"/>
  </x:mergeCells>
  <x:dataValidations count="28">
    <x:dataValidation type="list" sqref="D5">
      <x:formula1>"1,2"</x:formula1>
    </x:dataValidation>
    <x:dataValidation type="decimal" operator="greaterThan" sqref="D6">
      <x:formula1>0</x:formula1>
    </x:dataValidation>
    <x:dataValidation type="decimal" operator="greaterThan" sqref="D7">
      <x:formula1>0</x:formula1>
    </x:dataValidation>
    <x:dataValidation type="decimal" operator="greaterThan" sqref="D8">
      <x:formula1>0</x:formula1>
    </x:dataValidation>
    <x:dataValidation type="decimal" operator="greaterThan" sqref="D9">
      <x:formula1>0</x:formula1>
    </x:dataValidation>
    <x:dataValidation type="decimal" operator="greaterThan" sqref="D10">
      <x:formula1>0</x:formula1>
    </x:dataValidation>
    <x:dataValidation type="decimal" operator="greaterThan" sqref="D11">
      <x:formula1>0</x:formula1>
    </x:dataValidation>
    <x:dataValidation type="decimal" operator="greaterThan" sqref="D13">
      <x:formula1>0</x:formula1>
    </x:dataValidation>
    <x:dataValidation type="decimal" operator="greaterThan" sqref="D14">
      <x:formula1>0</x:formula1>
    </x:dataValidation>
    <x:dataValidation type="decimal" operator="greaterThan" sqref="D15">
      <x:formula1>0</x:formula1>
    </x:dataValidation>
    <x:dataValidation type="decimal" operator="greaterThan" sqref="D16">
      <x:formula1>0</x:formula1>
    </x:dataValidation>
    <x:dataValidation type="decimal" operator="greaterThan" sqref="D22">
      <x:formula1>0</x:formula1>
    </x:dataValidation>
    <x:dataValidation type="decimal" operator="greaterThan" sqref="D23">
      <x:formula1>0</x:formula1>
    </x:dataValidation>
    <x:dataValidation type="decimal" operator="greaterThan" sqref="D24">
      <x:formula1>0</x:formula1>
    </x:dataValidation>
    <x:dataValidation type="decimal" operator="greaterThan" sqref="D25">
      <x:formula1>0</x:formula1>
    </x:dataValidation>
    <x:dataValidation type="decimal" operator="greaterThan" sqref="D26">
      <x:formula1>0</x:formula1>
    </x:dataValidation>
    <x:dataValidation type="decimal" operator="greaterThan" sqref="D27">
      <x:formula1>0</x:formula1>
    </x:dataValidation>
    <x:dataValidation type="decimal" operator="greaterThan" sqref="D28">
      <x:formula1>0</x:formula1>
    </x:dataValidation>
    <x:dataValidation type="decimal" operator="greaterThan" sqref="D29">
      <x:formula1>0</x:formula1>
    </x:dataValidation>
    <x:dataValidation type="decimal" operator="greaterThan" sqref="D30">
      <x:formula1>0</x:formula1>
    </x:dataValidation>
    <x:dataValidation type="decimal" operator="greaterThan" sqref="D31">
      <x:formula1>0</x:formula1>
    </x:dataValidation>
    <x:dataValidation type="decimal" operator="greaterThan" sqref="D32">
      <x:formula1>0</x:formula1>
    </x:dataValidation>
    <x:dataValidation type="decimal" operator="greaterThan" sqref="D33">
      <x:formula1>0</x:formula1>
    </x:dataValidation>
    <x:dataValidation type="decimal" operator="greaterThan" sqref="D34">
      <x:formula1>0</x:formula1>
    </x:dataValidation>
    <x:dataValidation type="decimal" operator="greaterThan" sqref="D35">
      <x:formula1>0</x:formula1>
    </x:dataValidation>
    <x:dataValidation type="decimal" operator="greaterThan" sqref="D36">
      <x:formula1>0</x:formula1>
    </x:dataValidation>
    <x:dataValidation type="decimal" operator="greaterThan" sqref="D37">
      <x:formula1>0</x:formula1>
    </x:dataValidation>
    <x:dataValidation type="decimal" operator="greaterThan" sqref="D38">
      <x:formula1>0</x:formula1>
    </x:dataValidation>
  </x:dataValidations>
  <x:pageMargins left="0.7" right="0.7" top="0.75" bottom="0.75" header="0.3" footer="0.3"/>
</x:worksheet>
</file>