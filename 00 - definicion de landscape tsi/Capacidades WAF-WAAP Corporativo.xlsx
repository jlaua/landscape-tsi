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JLAU\landscape tsi\00 - definicion de landscape tsi\"/>
    </mc:Choice>
  </mc:AlternateContent>
  <xr:revisionPtr revIDLastSave="0" documentId="13_ncr:1_{F73A0D89-13D4-41B8-8F53-26E6C7A5AEC6}" xr6:coauthVersionLast="47" xr6:coauthVersionMax="47" xr10:uidLastSave="{00000000-0000-0000-0000-000000000000}"/>
  <bookViews>
    <workbookView xWindow="-120" yWindow="-120" windowWidth="29040" windowHeight="15720" tabRatio="821" firstSheet="3" activeTab="3" xr2:uid="{ACCCE2C1-F10A-4951-BA03-CFDC0262DCFA}"/>
  </bookViews>
  <sheets>
    <sheet name="cronograma Actividades" sheetId="42" r:id="rId1"/>
    <sheet name="01-alcance" sheetId="37" r:id="rId2"/>
    <sheet name="01-CISOs" sheetId="39" r:id="rId3"/>
    <sheet name="01-Contactos Especialistas" sheetId="40" r:id="rId4"/>
    <sheet name="01-Contacto Partners" sheetId="41" r:id="rId5"/>
    <sheet name="02-fechaContratos" sheetId="23" r:id="rId6"/>
    <sheet name="03-VolumetriaCredActualizada" sheetId="22" r:id="rId7"/>
    <sheet name="04-HomologacionCapacidades" sheetId="36" r:id="rId8"/>
    <sheet name="Hoja3" sheetId="38" r:id="rId9"/>
    <sheet name="Resumen SW" sheetId="14" r:id="rId10"/>
    <sheet name="Resumen Labor" sheetId="15" r:id="rId11"/>
    <sheet name="homologacion cap. " sheetId="7" r:id="rId12"/>
    <sheet name="tarifario corporativo" sheetId="11" r:id="rId13"/>
  </sheets>
  <externalReferences>
    <externalReference r:id="rId14"/>
  </externalReferences>
  <definedNames>
    <definedName name="_xlnm._FilterDatabase" localSheetId="4" hidden="1">'01-Contacto Partners'!$A$2:$G$2</definedName>
    <definedName name="_xlnm._FilterDatabase" localSheetId="3" hidden="1">'01-Contactos Especialistas'!$A$1:$N$1</definedName>
    <definedName name="_xlnm._FilterDatabase" localSheetId="5" hidden="1">'02-fechaContratos'!$A$5:$AL$5</definedName>
    <definedName name="_xlnm._FilterDatabase" localSheetId="6" hidden="1">'03-VolumetriaCredActualizada'!$A$3:$BJ$22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23" l="1"/>
  <c r="M17" i="23"/>
  <c r="L17" i="23"/>
  <c r="N16" i="23"/>
  <c r="M16" i="23"/>
  <c r="L16" i="23"/>
  <c r="N8" i="23" l="1"/>
  <c r="N19" i="23"/>
  <c r="N20" i="23"/>
  <c r="N13" i="23"/>
  <c r="N21" i="23"/>
  <c r="N22" i="23"/>
  <c r="N23" i="23"/>
  <c r="N7" i="23"/>
  <c r="N6" i="23"/>
  <c r="N24" i="23"/>
  <c r="N5" i="23"/>
  <c r="Q25" i="23" s="1"/>
  <c r="M8" i="23"/>
  <c r="M19" i="23"/>
  <c r="M20" i="23"/>
  <c r="M14" i="23"/>
  <c r="M13" i="23"/>
  <c r="M21" i="23"/>
  <c r="M22" i="23"/>
  <c r="M23" i="23"/>
  <c r="M7" i="23"/>
  <c r="M6" i="23"/>
  <c r="M24" i="23"/>
  <c r="M5" i="23"/>
  <c r="P25" i="23" s="1"/>
  <c r="L8" i="23"/>
  <c r="L24" i="23"/>
  <c r="L6" i="23"/>
  <c r="L7" i="23"/>
  <c r="L23" i="23"/>
  <c r="L22" i="23"/>
  <c r="L21" i="23"/>
  <c r="L13" i="23"/>
  <c r="L14" i="23"/>
  <c r="L20" i="23"/>
  <c r="L19" i="23"/>
  <c r="L5" i="23"/>
  <c r="O25" i="23" s="1"/>
  <c r="T25" i="23" l="1"/>
  <c r="W25" i="23" s="1"/>
  <c r="Z25" i="23" s="1"/>
  <c r="S25" i="23"/>
  <c r="V25" i="23" s="1"/>
  <c r="Y25" i="23" s="1"/>
  <c r="AB25" i="23" s="1"/>
  <c r="AE25" i="23" s="1"/>
  <c r="AH25" i="23" s="1"/>
  <c r="R25" i="23"/>
  <c r="U25" i="23" s="1"/>
  <c r="X25" i="23" s="1"/>
  <c r="AA25" i="23" s="1"/>
  <c r="AD25" i="23" s="1"/>
  <c r="AG25" i="23" s="1"/>
  <c r="D22" i="22"/>
  <c r="O13" i="22"/>
  <c r="N14" i="23" l="1"/>
  <c r="AC25" i="23" s="1"/>
  <c r="AF25" i="23" s="1"/>
  <c r="AI25" i="23" s="1"/>
  <c r="H10" i="14" l="1"/>
  <c r="H27" i="14"/>
  <c r="H20" i="14"/>
  <c r="H13" i="14"/>
  <c r="G27" i="14"/>
  <c r="G20" i="14"/>
  <c r="G5" i="14"/>
  <c r="H19" i="14"/>
  <c r="G15" i="14"/>
  <c r="H25" i="14"/>
  <c r="G21" i="14"/>
  <c r="G24" i="14"/>
  <c r="H22" i="14"/>
  <c r="H16" i="14"/>
  <c r="H5" i="14"/>
  <c r="G23" i="14"/>
  <c r="G16" i="14"/>
  <c r="H12" i="14"/>
  <c r="G12" i="14"/>
  <c r="G14" i="14"/>
  <c r="G13" i="14" l="1"/>
  <c r="G11" i="14"/>
  <c r="H14" i="14"/>
  <c r="H18" i="14"/>
  <c r="G17" i="14"/>
  <c r="H21" i="14"/>
  <c r="G18" i="14"/>
  <c r="H26" i="14"/>
  <c r="G10" i="14"/>
  <c r="G22" i="14"/>
  <c r="G4" i="14"/>
  <c r="H17" i="14"/>
  <c r="H4" i="14"/>
  <c r="G25" i="14"/>
  <c r="G19" i="14"/>
  <c r="H24" i="14"/>
  <c r="H15" i="14"/>
  <c r="H23" i="14"/>
  <c r="H11" i="14"/>
  <c r="G26" i="14"/>
  <c r="G28" i="14" l="1"/>
  <c r="H28" i="14"/>
</calcChain>
</file>

<file path=xl/sharedStrings.xml><?xml version="1.0" encoding="utf-8"?>
<sst xmlns="http://schemas.openxmlformats.org/spreadsheetml/2006/main" count="1523" uniqueCount="542">
  <si>
    <t>N°</t>
  </si>
  <si>
    <t>Empresa</t>
  </si>
  <si>
    <t>Imperva</t>
  </si>
  <si>
    <t>No Aplica</t>
  </si>
  <si>
    <t>Mi Banco Peru</t>
  </si>
  <si>
    <t>Cloudflare</t>
  </si>
  <si>
    <t>sin informacion</t>
  </si>
  <si>
    <t>CDN</t>
  </si>
  <si>
    <t>Pacifico Seguros</t>
  </si>
  <si>
    <t>Prima AFP</t>
  </si>
  <si>
    <t>Pacifico EPS</t>
  </si>
  <si>
    <t>no aplica</t>
  </si>
  <si>
    <t>Pacifico-Prestadoras de Salud</t>
  </si>
  <si>
    <t>Culqui</t>
  </si>
  <si>
    <t>AWS Firewall</t>
  </si>
  <si>
    <t>BCP Miami</t>
  </si>
  <si>
    <t>Monokera</t>
  </si>
  <si>
    <t>no brinda informacion</t>
  </si>
  <si>
    <t>BCP - Bolivia</t>
  </si>
  <si>
    <t>Radware</t>
  </si>
  <si>
    <t>Mi Banco - Colombia</t>
  </si>
  <si>
    <t>Tenpo - Chile</t>
  </si>
  <si>
    <t>Tyba</t>
  </si>
  <si>
    <t>IO</t>
  </si>
  <si>
    <t>Habilitacion Mandatoria</t>
  </si>
  <si>
    <t>Habilitacion Opcional</t>
  </si>
  <si>
    <t>Web Application Firewall</t>
  </si>
  <si>
    <t>Bot Protection
(ABP)</t>
  </si>
  <si>
    <t>Anti DDoS (Layer 7)</t>
  </si>
  <si>
    <t>Certificate Manager y mTLS</t>
  </si>
  <si>
    <t>Content Delivery Network (CDN)</t>
  </si>
  <si>
    <t>API Protection / 
API Security</t>
  </si>
  <si>
    <t>Client Side Protection (CSP)</t>
  </si>
  <si>
    <t>Account Take Over (ATO)</t>
  </si>
  <si>
    <t>API Security Plus</t>
  </si>
  <si>
    <t>cloud Application Protection - Complete</t>
  </si>
  <si>
    <t>Web DDos</t>
  </si>
  <si>
    <t>No equivalente</t>
  </si>
  <si>
    <t>Comentario de subsidiaria</t>
  </si>
  <si>
    <t>CAPACIDADES WAAP</t>
  </si>
  <si>
    <t>A</t>
  </si>
  <si>
    <t>F</t>
  </si>
  <si>
    <t>NA</t>
  </si>
  <si>
    <t>Cuentan con licencias activas, estan en entorno de desarrollo explorando como usar el modulo de api security con 10 apis
(109MM de request )</t>
  </si>
  <si>
    <t>NA (Se usa cloudfront)</t>
  </si>
  <si>
    <t>No cuenta con modulo de Api security, lo realizan a traves del WAF.</t>
  </si>
  <si>
    <t>Cuenta con licencia Activa, pero su modelo de licenciamiento es por dominio.</t>
  </si>
  <si>
    <t>No cuenta con modulo de API Protecion, usan el WAF tradicional</t>
  </si>
  <si>
    <t>Throughput (mensual)
Gbps</t>
  </si>
  <si>
    <t>Ancho de Banda (mensual)
Gbps</t>
  </si>
  <si>
    <t>Dominio</t>
  </si>
  <si>
    <t>Sub Dominios</t>
  </si>
  <si>
    <t xml:space="preserve">Millones de Request (M) (mensual / antibot) </t>
  </si>
  <si>
    <t>Millones Request WAF (M) (mensual)</t>
  </si>
  <si>
    <t>Millones Request Antibot+WAF (M) (mensual)</t>
  </si>
  <si>
    <t>Data Transfer (TB) (mensual)</t>
  </si>
  <si>
    <t>Request Size (mensual)</t>
  </si>
  <si>
    <t>Response Size (mensual)</t>
  </si>
  <si>
    <t>No cuenta con modulo</t>
  </si>
  <si>
    <t>no aplica por ser SaaS</t>
  </si>
  <si>
    <t>no brindo informacion</t>
  </si>
  <si>
    <t>no aplica por ser PaaS</t>
  </si>
  <si>
    <t>165.9 GB</t>
  </si>
  <si>
    <t>5.4 TB</t>
  </si>
  <si>
    <t>442.9 GB</t>
  </si>
  <si>
    <t>19.4 TB</t>
  </si>
  <si>
    <t>sin respuesta</t>
  </si>
  <si>
    <t>No cuenta con modulo; actualmente en exploratorio con 10 apis en desarrollo</t>
  </si>
  <si>
    <t>170 KB</t>
  </si>
  <si>
    <t>395 KB</t>
  </si>
  <si>
    <t>Cuenta con licencia Activa
* 1.3 B (1300MM)
request promedio mensual</t>
  </si>
  <si>
    <t>818 GB</t>
  </si>
  <si>
    <t>4951 GB</t>
  </si>
  <si>
    <t>APP
(Nro)</t>
  </si>
  <si>
    <t>API Protection</t>
  </si>
  <si>
    <t>API Security</t>
  </si>
  <si>
    <t>Tenpo Chile</t>
  </si>
  <si>
    <t>Credicorp Capital</t>
  </si>
  <si>
    <t>Pacifico Prestadoras de Salud</t>
  </si>
  <si>
    <t>BCP Bolivia</t>
  </si>
  <si>
    <t>TYBA</t>
  </si>
  <si>
    <t>Yape</t>
  </si>
  <si>
    <t>Frontdoor</t>
  </si>
  <si>
    <t>WAF AS-IS</t>
  </si>
  <si>
    <t>Cantidad de aplicaciones (FQDN)</t>
  </si>
  <si>
    <t xml:space="preserve">API Protection / API Security Request (M x Mes) </t>
  </si>
  <si>
    <t>Cantidad de Aplicaciones FQDN 
en API Security</t>
  </si>
  <si>
    <t>Cuenta con licencia activa para: 
* 2 dominios/publicaciones 10M</t>
  </si>
  <si>
    <t>5 (MTLS)</t>
  </si>
  <si>
    <t>0.676 TB</t>
  </si>
  <si>
    <t>676.24 GB</t>
  </si>
  <si>
    <t>x</t>
  </si>
  <si>
    <t>(01) api.pacifico.com.pe</t>
  </si>
  <si>
    <t>(01) api.turesumenprima.com.pe</t>
  </si>
  <si>
    <t>a nivel de api security, usan defender y waf tradicional como complementario.
La columna J incluye un crecimiento del 10% de FQDN al 09.07.2026</t>
  </si>
  <si>
    <t>13M</t>
  </si>
  <si>
    <t>CND = Se maneja con CloudFront
Certificate Manager = AWS Certificate Manager
AntiDDOS = Tenemos protección AWS Shield Standar, pero nos gustaria revisar a futuro una mas avanzada</t>
  </si>
  <si>
    <t>YAPE Bolivia</t>
  </si>
  <si>
    <t>180 KB</t>
  </si>
  <si>
    <t>400 KB</t>
  </si>
  <si>
    <t>41 Prod
118 Test</t>
  </si>
  <si>
    <t>No cuenta con modulo de API Protecion, usan el WAF tradicional + antibot + DoS</t>
  </si>
  <si>
    <t>Culqi</t>
  </si>
  <si>
    <t>sobre el api security 
6.090.000 / 5 países = 1.218.000/mes por país.</t>
  </si>
  <si>
    <t>SUBSIDIARIA</t>
  </si>
  <si>
    <t>YAPE</t>
  </si>
  <si>
    <t>Credicorp Capital Colombia</t>
  </si>
  <si>
    <t>Credicorp Capital Chile</t>
  </si>
  <si>
    <t>ASB - Panama</t>
  </si>
  <si>
    <t>Credicorp Capital Perú</t>
  </si>
  <si>
    <t>Credicorp Capital USA</t>
  </si>
  <si>
    <t>YAPE - Bolivia</t>
  </si>
  <si>
    <t>PAYG</t>
  </si>
  <si>
    <t>Akamai</t>
  </si>
  <si>
    <t>Implementación</t>
  </si>
  <si>
    <t>Total</t>
  </si>
  <si>
    <t>Tarifario - Crecimientos</t>
  </si>
  <si>
    <t>Precio por 1 año</t>
  </si>
  <si>
    <t>Precio por 3 años</t>
  </si>
  <si>
    <t>Componente</t>
  </si>
  <si>
    <t>SW</t>
  </si>
  <si>
    <t>3 años</t>
  </si>
  <si>
    <t>BCP - Perú</t>
  </si>
  <si>
    <t>Mi Banco Perú</t>
  </si>
  <si>
    <t>Pacifico SI</t>
  </si>
  <si>
    <t>Soporte de Fábrica</t>
  </si>
  <si>
    <t>5 años</t>
  </si>
  <si>
    <t>Capacitación</t>
  </si>
  <si>
    <t>📌 Resumen SW — Totales por Empresa y Componente según Plazo (Años)</t>
  </si>
  <si>
    <t>Total 3 años</t>
  </si>
  <si>
    <t>Total 5 años</t>
  </si>
  <si>
    <t>Credicorp Capital Colombia/Credicorp Capital Chile/ASB - Panama/Credicorp Capital Perú/Credicorp Capital USA</t>
  </si>
  <si>
    <t>* La información de las empresas Credicorp Capital Colombia/Credicorp Capital Chile/ASB - Panama/Credicorp Capital Perú/Credicorp Capital USA se recibió el bloque.</t>
  </si>
  <si>
    <t>TOTAL</t>
  </si>
  <si>
    <t>📌 Resumen Labor — Totales por Empresa según Tipo de Labor</t>
  </si>
  <si>
    <t>Soporte Local (3 años)</t>
  </si>
  <si>
    <t>Soporte Local (5 años)</t>
  </si>
  <si>
    <t>Total General</t>
  </si>
  <si>
    <t>Pacifico Salud/EPS</t>
  </si>
  <si>
    <t>N° prioridad</t>
  </si>
  <si>
    <t xml:space="preserve">N° </t>
  </si>
  <si>
    <t>No cuenta con modulo API security, usan el WAF como API Protection
Usan Cloudfront para CDN</t>
  </si>
  <si>
    <t>R</t>
  </si>
  <si>
    <t>Fecha de Venc. Contractual</t>
  </si>
  <si>
    <t>Producto Actual</t>
  </si>
  <si>
    <t>Cloudfare</t>
  </si>
  <si>
    <t>Cloudfare/ 
Azure Frootdoor</t>
  </si>
  <si>
    <t>Azure Frootdoor</t>
  </si>
  <si>
    <t>FECHA VENCIMIENTO</t>
  </si>
  <si>
    <t>Throughput (GB) / Mes</t>
  </si>
  <si>
    <t>Request WAF (M) / Mes</t>
  </si>
  <si>
    <t>Thgput (GB) / Acum</t>
  </si>
  <si>
    <t>Req. WAF (M) / Acum</t>
  </si>
  <si>
    <t>Pacifico Seguros y Pensiones</t>
  </si>
  <si>
    <t>Cant. App FQDN (urls)</t>
  </si>
  <si>
    <t>cant. Apps</t>
  </si>
  <si>
    <t>YAPE - Perú</t>
  </si>
  <si>
    <t>Seq°</t>
  </si>
  <si>
    <t>IMPERVA</t>
  </si>
  <si>
    <t>CLOUDFLARE</t>
  </si>
  <si>
    <t>Homologacion Tecnologia</t>
  </si>
  <si>
    <t>Add-Ons</t>
  </si>
  <si>
    <t>Servicios</t>
  </si>
  <si>
    <t>Servicios - Implementacion</t>
  </si>
  <si>
    <t>Servicios - Migracion</t>
  </si>
  <si>
    <t>Servicios - Operación</t>
  </si>
  <si>
    <t>Licencias</t>
  </si>
  <si>
    <t>CASOS DE USO</t>
  </si>
  <si>
    <t>Módulo de Firewall de aplicaciones, diseñado para protección contra OWASP Top10</t>
  </si>
  <si>
    <t>Módulo de Prevención contra bots, captcha, necesario para detección y mitigación de actividad automatizada generada por bots maliciosos</t>
  </si>
  <si>
    <t>Capa de mitigación ante ataques de denegación de servicio y volumetría a las aplicaciones web</t>
  </si>
  <si>
    <t>Capacidad para brindar aceleración de tráfico y mejorar la experiencia de usuario mediante mecanismos como caché, páginas personalizadas y redirección http-https</t>
  </si>
  <si>
    <t>Módulo de protección especializado para APIs (seguridad avanzada de api's), rate limiting</t>
  </si>
  <si>
    <t>Módulo para la protección al cliente final, capaz de detectar actividades maliciosas en el navegador del usuario</t>
  </si>
  <si>
    <t>Capa de seguridad sobre login, brinda protección contra password spray y detección contra filtraciones de usuarios y contraseñas</t>
  </si>
  <si>
    <t>Servicio Implementacion</t>
  </si>
  <si>
    <t>Servicio Migracion</t>
  </si>
  <si>
    <t>Soporte Local - 3años</t>
  </si>
  <si>
    <t>APP-SRV-100MB</t>
  </si>
  <si>
    <t>imperva</t>
  </si>
  <si>
    <t>Bot Protection Advanced
(ABP)</t>
  </si>
  <si>
    <t>API Protection / 
API Security - Advanced</t>
  </si>
  <si>
    <t>CLODF-CDN-100MB</t>
  </si>
  <si>
    <t>CLOUDF-WAF</t>
  </si>
  <si>
    <t>Homologacion Capacidades Tecnologia / Partnumber / SKU</t>
  </si>
  <si>
    <t>País</t>
  </si>
  <si>
    <t>YAPE – Perú</t>
  </si>
  <si>
    <t>BCB Bolivia</t>
  </si>
  <si>
    <t>YAPE – Bolivia</t>
  </si>
  <si>
    <t>Tenpo</t>
  </si>
  <si>
    <t>Perú</t>
  </si>
  <si>
    <t>USA</t>
  </si>
  <si>
    <t>Colombia</t>
  </si>
  <si>
    <t>Bolivia</t>
  </si>
  <si>
    <t>Chile</t>
  </si>
  <si>
    <t>ASB - Panamá</t>
  </si>
  <si>
    <t>Panamá</t>
  </si>
  <si>
    <t>Credicorp Capital Peru</t>
  </si>
  <si>
    <t>Partner</t>
  </si>
  <si>
    <t>Operación</t>
  </si>
  <si>
    <t>Licencia</t>
  </si>
  <si>
    <t>Nek–SecureSoft</t>
  </si>
  <si>
    <t>Autogestionado</t>
  </si>
  <si>
    <t>No aplica</t>
  </si>
  <si>
    <t>Contrato</t>
  </si>
  <si>
    <t>Apukay</t>
  </si>
  <si>
    <t>Tercerizado</t>
  </si>
  <si>
    <t>AWS FW</t>
  </si>
  <si>
    <t>SecureSoft</t>
  </si>
  <si>
    <t>Cloud Factory</t>
  </si>
  <si>
    <t>Nuevo</t>
  </si>
  <si>
    <t>Linxsource</t>
  </si>
  <si>
    <t>Tipo Contrato</t>
  </si>
  <si>
    <t>Fecha Contrato</t>
  </si>
  <si>
    <t>VOLUMETRIA(Info Relevada)</t>
  </si>
  <si>
    <t>VOLUMETRIA(Validada con fabricante)</t>
  </si>
  <si>
    <t>CAPACIDAD / MODULO</t>
  </si>
  <si>
    <t>API Protection / API Security - Basic</t>
  </si>
  <si>
    <t>API Protection / API Security - Advanced</t>
  </si>
  <si>
    <t>* Capa para la gestión de certificados de presentación y MTLS. Administra y limita los algoritmos de cifrado soportados para permitir una conexión.
* Inspección de SSL.</t>
  </si>
  <si>
    <t>DESCRIPCION CREDICORP</t>
  </si>
  <si>
    <t>Modulos o features adicionales que pueda contar la plataforma</t>
  </si>
  <si>
    <t>Bot Protection (ABP) en WAP - Basic</t>
  </si>
  <si>
    <t>Bot Protection - Advanced (ABP)</t>
  </si>
  <si>
    <t>Tabla propuesta de capacidades WAAP</t>
  </si>
  <si>
    <t>Capacidad / Módulo</t>
  </si>
  <si>
    <t>Descripción Agnóstica</t>
  </si>
  <si>
    <t>Funcionalidades Esenciales</t>
  </si>
  <si>
    <t>Funcionalidades Avanzadas</t>
  </si>
  <si>
    <t>WAAP Core</t>
  </si>
  <si>
    <t>Web Application Firewall (WAF)</t>
  </si>
  <si>
    <t>Protección de aplicaciones web frente a ataques de capa 7 mediante inspección de tráfico y aplicación de políticas de seguridad.</t>
  </si>
  <si>
    <t>OWASP Top 10, reglas gestionadas, reglas personalizadas, logging, virtual patching básico.</t>
  </si>
  <si>
    <t>ML/anomaly detection, attack scoring, detección de credenciales expuestas, malware upload scanning, protección gRPC/WebSocket.</t>
  </si>
  <si>
    <t>Application DDoS Protection (L7)</t>
  </si>
  <si>
    <t>Protección contra ataques de denegación de servicio dirigidos a aplicaciones y APIs.</t>
  </si>
  <si>
    <t>Detección y mitigación automática L7, protección HTTP/HTTPS, dashboards.</t>
  </si>
  <si>
    <t>Detección adaptativa, mitigación basada en comportamiento, protección granular por endpoint/API.</t>
  </si>
  <si>
    <t>Bot Management &amp; Automated Abuse Protection</t>
  </si>
  <si>
    <t>Identificación y gestión de tráfico automatizado legítimo y malicioso.</t>
  </si>
  <si>
    <t>Firmas, reputación IP, JS Challenge, CAPTCHA, allow/deny list, protección básica contra scraping.</t>
  </si>
  <si>
    <t>Fingerprinting, behavioral analysis, bot scoring, ATO, credential stuffing, carding, signup abuse, mobile bot protection.</t>
  </si>
  <si>
    <t>Descubrimiento, protección y control de APIs durante todo su ciclo de vida.</t>
  </si>
  <si>
    <t>Inventario conocido, autenticación, validación de esquema, rate limiting, logging de APIs.</t>
  </si>
  <si>
    <t>API Discovery, posture management, detección BOLA/BFLA, behavioral analytics, protección de lógica de negocio.</t>
  </si>
  <si>
    <t>Client-Side Security</t>
  </si>
  <si>
    <t>Protección de scripts y componentes ejecutados en el navegador del usuario.</t>
  </si>
  <si>
    <t>Inventario de scripts, monitoreo de cambios, alertas.</t>
  </si>
  <si>
    <t>Detección de Magecart, CSP asistido, control de exfiltración, integridad de scripts.</t>
  </si>
  <si>
    <t>API Security (recomendación: dividirlo)</t>
  </si>
  <si>
    <t>No dejar una sola fila "API Protection"</t>
  </si>
  <si>
    <t>Subcapacidad</t>
  </si>
  <si>
    <t>Descripción</t>
  </si>
  <si>
    <t>Esencial</t>
  </si>
  <si>
    <t>Avanzada</t>
  </si>
  <si>
    <t>API Discovery</t>
  </si>
  <si>
    <t>Identificación de APIs y endpoints expuestos.</t>
  </si>
  <si>
    <t>Inventario manual o importado.</t>
  </si>
  <si>
    <t>Descubrimiento automático de APIs shadow, zombie y desconocidas.</t>
  </si>
  <si>
    <t>API Schema Management</t>
  </si>
  <si>
    <t>Uso de modelos positivos basados en especificaciones.</t>
  </si>
  <si>
    <t>Carga manual OpenAPI.</t>
  </si>
  <si>
    <t>Aprendizaje automático de esquemas y detección de desviaciones.</t>
  </si>
  <si>
    <t>API Authentication Validation</t>
  </si>
  <si>
    <t>Verificación de autenticación utilizada por APIs.</t>
  </si>
  <si>
    <t>API Key, JWT, OAuth.</t>
  </si>
  <si>
    <t>mTLS, posture assessment y análisis de autenticación inconsistente.</t>
  </si>
  <si>
    <t>API Authorization Security</t>
  </si>
  <si>
    <t>Protección contra fallas de autorización.</t>
  </si>
  <si>
    <t>Reglas personalizadas.</t>
  </si>
  <si>
    <t>Detección de BOLA/BFLA y abuso de privilegios.</t>
  </si>
  <si>
    <t>API Data Protection</t>
  </si>
  <si>
    <t>Protección de información sensible expuesta por APIs.</t>
  </si>
  <si>
    <t>Detección básica de datos sensibles.</t>
  </si>
  <si>
    <t>Clasificación contextual y detección de exfiltración.</t>
  </si>
  <si>
    <t>API Abuse Protection</t>
  </si>
  <si>
    <t>Protección frente a abuso y automatización.</t>
  </si>
  <si>
    <t>Rate limiting, DDoS, WAF.</t>
  </si>
  <si>
    <t>Análisis de secuencia, lógica de negocio y comportamiento.</t>
  </si>
  <si>
    <t>API Analytics &amp; Visibility</t>
  </si>
  <si>
    <t>Observabilidad y monitoreo.</t>
  </si>
  <si>
    <t>Volumen, errores y latencia.</t>
  </si>
  <si>
    <t>Análisis de secuencias, baseline y anomalías.</t>
  </si>
  <si>
    <t>API Protocol Security</t>
  </si>
  <si>
    <t>Protección de protocolos específicos.</t>
  </si>
  <si>
    <t>REST.</t>
  </si>
  <si>
    <t>GraphQL, gRPC y APIs asíncronas.</t>
  </si>
  <si>
    <t>Bot Management (separación recomendada)</t>
  </si>
  <si>
    <t>Bot Detection</t>
  </si>
  <si>
    <t>Identificación básica de bots.</t>
  </si>
  <si>
    <t>Firmas, reputación IP, User-Agent.</t>
  </si>
  <si>
    <t>Huella de dispositivo y navegador.</t>
  </si>
  <si>
    <t>Good Bot Management</t>
  </si>
  <si>
    <t>Gestión de bots legítimos.</t>
  </si>
  <si>
    <t>Allowlist básica.</t>
  </si>
  <si>
    <t>Clasificación automática y verificación continua.</t>
  </si>
  <si>
    <t>Bot Classification</t>
  </si>
  <si>
    <t>Clasificación humano/bot.</t>
  </si>
  <si>
    <t>Reglas estáticas.</t>
  </si>
  <si>
    <t>Machine Learning y Behavioral Models.</t>
  </si>
  <si>
    <t>Bot Scoring</t>
  </si>
  <si>
    <t>Asignación de riesgo.</t>
  </si>
  <si>
    <t>No requerido.</t>
  </si>
  <si>
    <t>Bot Score dinámico.</t>
  </si>
  <si>
    <t>Scraping Protection</t>
  </si>
  <si>
    <t>Protección contra extracción automatizada.</t>
  </si>
  <si>
    <t>Bloqueo básico.</t>
  </si>
  <si>
    <t>Detección avanzada de scraping distribuido.</t>
  </si>
  <si>
    <t>Credential Stuffing Protection</t>
  </si>
  <si>
    <t>Protección de credenciales.</t>
  </si>
  <si>
    <t>Rate limiting.</t>
  </si>
  <si>
    <t>Detección de credenciales comprometidas y ATO.</t>
  </si>
  <si>
    <t>Account Takeover Protection</t>
  </si>
  <si>
    <t>Protección de cuentas.</t>
  </si>
  <si>
    <t>Desafíos y bloqueo.</t>
  </si>
  <si>
    <t>Protección contextual basada en riesgo.</t>
  </si>
  <si>
    <t>Transaction Abuse Protection</t>
  </si>
  <si>
    <t>Protección de fraude automatizado.</t>
  </si>
  <si>
    <t>No aplica.</t>
  </si>
  <si>
    <t>Carding, gift-card abuse, inventory hoarding, scalping.</t>
  </si>
  <si>
    <t>Mobile Bot Protection</t>
  </si>
  <si>
    <t>Protección de aplicaciones móviles.</t>
  </si>
  <si>
    <t>SDK móvil y validación de integridad.</t>
  </si>
  <si>
    <t>API Bot Protection</t>
  </si>
  <si>
    <t>Protección de APIs frente a bots.</t>
  </si>
  <si>
    <t>Reglas por endpoint.</t>
  </si>
  <si>
    <t>Correlación API + Bot Score + comportamiento.</t>
  </si>
  <si>
    <t>Bot Management</t>
  </si>
  <si>
    <t>Capacidades complementarias recomendadas</t>
  </si>
  <si>
    <t>Capacidad</t>
  </si>
  <si>
    <t>Descripción propuesta</t>
  </si>
  <si>
    <t>Context-Aware Rate Limiting</t>
  </si>
  <si>
    <t>Control granular de abuso basado en IP, sesión, token, clave API, usuario o contexto transaccional.</t>
  </si>
  <si>
    <t>Content Delivery &amp; Application Acceleration</t>
  </si>
  <si>
    <t>Optimización del rendimiento mediante distribución geográfica, caché y aceleración de aplicaciones.</t>
  </si>
  <si>
    <t>DNS Security</t>
  </si>
  <si>
    <t>Protección y resiliencia DNS mediante DNSSEC, protección DDoS DNS y gestión segura de zonas.</t>
  </si>
  <si>
    <t>TLS &amp; Certificate Management</t>
  </si>
  <si>
    <t>Gestión centralizada de certificados, TLS moderno y autenticación mutua.</t>
  </si>
  <si>
    <t>Application Traffic Management &amp; Load Balancing</t>
  </si>
  <si>
    <t>Distribución inteligente de tráfico con health checks, failover y enrutamiento geográfico.</t>
  </si>
  <si>
    <t>Threat Intelligence &amp; Risk Scoring</t>
  </si>
  <si>
    <t>Uso de inteligencia de amenazas, reputación y modelos de riesgo para mejorar la detección y respuesta.</t>
  </si>
  <si>
    <t>Security Observability &amp; Integrations</t>
  </si>
  <si>
    <t>Dashboards, logs, SIEM/SOAR, APIs, exportación de eventos y correlación entre módulos.</t>
  </si>
  <si>
    <t>Governance &amp; Automation</t>
  </si>
  <si>
    <t>RBAC, auditoría, IaC, Terraform, APIs administrativas y flujos de aprobación.</t>
  </si>
  <si>
    <t>Compliance Enablement &amp; Data Protection</t>
  </si>
  <si>
    <t>Funciones que facilitan cumplimiento normativo, localización de datos y protección de información sensible.</t>
  </si>
  <si>
    <t>Capacidades complementarias</t>
  </si>
  <si>
    <t>Nueva Definicion</t>
  </si>
  <si>
    <t>• Inventario manual o importado de APIs
• Protección REST básica
• Validación de autenticación (API Key, JWT, OAuth)
• Validación de esquemas OpenAPI cargados manualmente
• Protección frente a OWASP API Security Top 10
• WAF aplicado a endpoints API
• Rate Limiting por IP o endpoint
• Protección DDoS L7
• Registro y monitoreo por endpoint
• Detección básica de datos sensibles</t>
  </si>
  <si>
    <t>• Descubrimiento automático de APIs (Shadow APIs)
• Descubrimiento de Zombie APIs
• Aprendizaje automático de esquemas
• API Posture Management
• Evaluación de autenticación inconsistente o ausente
• Detección de BOLA/BFLA
• Detección de abuso de lógica de negocio
• Behavioral Analytics
• Sequence Analysis
• Detección de exfiltración de datos
• Sensitive Data Discovery por endpoint
• Protección GraphQL
• Protección gRPC
• Rate Limiting contextual (usuario, token, sesión)
• Protección contra bots sobre APIs
• Recomendaciones automáticas de políticas
• Analítica avanzada de rendimiento y comportamiento</t>
  </si>
  <si>
    <t>Protección fundamental de APIs conocidas mediante controles de seguridad en tiempo de ejecución que validan solicitudes, autenticación y abuso básico.
* Protege APIs conocidas
* Valida solicitudes
* Autenticación
* Rate Limiting simple
* OWASP API Top 10
* REST tradicional</t>
  </si>
  <si>
    <t>Protección avanzada de APIs basada en descubrimiento continuo, análisis de postura, comportamiento, lógica de negocio y riesgos asociados a APIs desconocidas o mal configuradas.
* Descubre APIs desconocidas
* Analiza comportamiento
* Postura de autenticación
* Rate Limiting contextual
* Lógica de negocio y BOLA
* REST + GraphQL + gRPC</t>
  </si>
  <si>
    <t>Identificación y mitigación de bots conocidos y automatización simple mediante reglas, reputación y desafíos.</t>
  </si>
  <si>
    <t>• Detección basada en firmas
• Reputación IP/ASN
• User-Agent filtering
• Allowlist de Good Bots
• Blocklist configurable
• JavaScript Challenge
• CAPTCHA o mecanismo equivalente
• Rate Limiting para automatización evidente
• Protección básica contra scraping
• Protección básica contra fuerza bruta
• Dashboards de tráfico humano vs bot</t>
  </si>
  <si>
    <t>Detección y mitigación de automatización sofisticada basada en comportamiento, identidad, dispositivo y modelos adaptativos de riesgo.
Detección conductual, fingerprinting, ML, credential stuffing y fraude automatizado.</t>
  </si>
  <si>
    <t>• Device Fingerprinting
• Browser Fingerprinting
• Behavioral Analysis
• Machine Learning Detection
• Bot Scoring
• Session Analysis
• Human Verification adaptativa
• Detección de evasión de CAPTCHA
• Credential Stuffing Protection
• Carding Protection
• Fake Account Creation Protection
• Signup Abuse Protection
• Inventory Hoarding Protection
• Scalping Protection
• Mobile SDK Protection
• API Bot Protection
• Respuestas dinámicas según riesgo</t>
  </si>
  <si>
    <t>Capacidad para descubrir, monitorear, evaluar y controlar scripts, librerías, recursos y comunicaciones ejecutadas en el navegador del usuario final, con el objetivo de detectar modificaciones no autorizadas, ataques a la cadena de suministro web, robo de datos y exfiltración de información desde la capa cliente.</t>
  </si>
  <si>
    <t>• Protección en el navegador clientes
• Inventario de Scripts: Descubrimiento de scripts propios y de terceros.
• Descubrimiento de Dependencias: Identificación de dominios externos utilizados por la aplicación.
• Monitoreo de Cambios: Detección de scripts agregados, modificados o eliminados.
• Alertas de Cambios: Notificación de actividades sospechosas.
• Visibilidad de Terceros: Identificación de proveedores externos ejecutándose en el navegador.
• Baseline de Scripts: Construcción de una línea base autorizada.
• Reporting: Visibilidad por aplicación, dominio o página.
• Detección de Magecart: Identificación de ataques de skimming digital.
Detección de Supply Chain Attacks: Identificación de bibliotecas comprometidas.
• Script Integrity Monitoring: Validación continua de integridad.
• Exfiltration DetectionDetección de transferencia no autorizada de datos.
• Exfiltration Blocking: Bloqueo de intentos de extracción de información.
• CSP Management: Gestión y generación de Content Security Policy.
• Risk Scoring: Clasificación de riesgo por script.
• Behavioral AnalysisAnálisis del comportamiento de scripts.
• Sensitive Data MonitoringIdentificación de acceso a datos sensibles.
• PCI DSS Monitoring: Controles específicos para cumplimiento PCI DSS 4.0.
Proteger contra: 
Magecart
Formjacking
Supply Chain Attack
Robo de tarjetas
Robo de credenciales
Exfiltración de datos
Scripts comprometidos
JavaScript malicioso</t>
  </si>
  <si>
    <t>Account Take Over (ATO) - Basic</t>
  </si>
  <si>
    <t>Account Take Over (ATO) - Advanced</t>
  </si>
  <si>
    <t>Capacidad para detectar y bloquear intentos de acceso no autorizados a cuentas mediante el uso de credenciales comprometidas, automatización simple y controles de autenticación orientados a reducir el riesgo de apropiación de cuentas.</t>
  </si>
  <si>
    <t>• Credential Stuffing Detection
• Brute Force Protection
• Password Spraying Detection
• Rate Limiting sobre procesos de login
• Detección de credenciales expuestas o comprometidas
• IP Reputation
• ASN Reputation
• Country Blocking
• CAPTCHA / JS Challenge
• Bot Detection básica
• Login Monitoring
• Alertas de intentos de autenticación sospechosos</t>
  </si>
  <si>
    <t>Capacidad para prevenir la apropiación fraudulenta de cuentas mediante la correlación de señales de identidad, dispositivo, comportamiento, sesión y riesgo, aplicando respuestas adaptativas y protección continua durante todo el ciclo de autenticación y uso de la cuenta.</t>
  </si>
  <si>
    <t>• Behavioral Authentication Analytics
• User Risk Scoring
• Bot Risk Scoring
• Device Fingerprinting
• Browser Fingerprinting
• Session Risk Analysis
• Session Hijacking Detection
• Impossible Travel Detection
• UEBA (User &amp; Entity Behavior Analytics)
• Continuous Authentication Validation
• Adaptive Authentication
• Integration con IdP / IAM
• Identity Risk Correlation
• Fraud Detection
• Mobile Device Trust Validation
• ATO Campaign Detection
• Account Abuse Analytics</t>
  </si>
  <si>
    <t>Capacidad de inspeccionar, analizar y controlar el tráfico HTTP/HTTPS dirigido a aplicaciones web, identificando y mitigando ataques, abusos y vulnerabilidades de capa de aplicación mediante políticas de seguridad, firmas, modelos de detección y controles configurables, independientemente de dónde se encuentren alojadas las aplicaciones protegidas.</t>
  </si>
  <si>
    <t>• Protección OWASP Top 10
• Reglas administradas
• Reglas personalizadas
• Protección frente a técnicas de evasión
• Detección de ataques SQLi
• Detección de ataques XSS
• Detección de RCE
• Detección de Path Traversal
• Logging y auditoría
• Gestión de falsos positivos
• Integración SIEM/SOAR
• Protección de aplicaciones web y endpoints HTTP
• Bloqueo y monitoreo
• Protección ante firmas conocidas
• Protección HTTP/HTTPS
• Excepciones y exclusiones
• Protección de formularios y parámetros
• Protección Zero-Day
• Machine Learning Detection
• Attack Scoring
• Behavioral Analysis
• Threat Intelligence integrada
• Detección de evasión avanzada
• Virtual Patching automático
• Detección de anomalías HTTP
• Sensitive Data Detection
• Exposed Credential Detection
• Malware Upload Detection
• Protección gRPC
• Protección WebSockets
• Recomendación automática de reglas
• Integración CI/CD
• Terraform/IaC</t>
  </si>
  <si>
    <t>Garantizar la disponibilidad de aplicaciones y APIs frente a ataques volumétricos, de agotamiento de recursos o abuso de protocolos HTTP/HTTPS.
Capacidad para detectar, analizar y mitigar ataques de denegación de servicio dirigidos a aplicaciones web y APIs, protegiendo la disponibilidad de los servicios mediante mecanismos automáticos de identificación de anomalías, absorción de tráfico malicioso y aplicación de políticas específicas de capa de aplicación.</t>
  </si>
  <si>
    <t>•  Aplicar umbrales de forma manual y automática según la tendencia de conexiones recibidas.
• Rate Limiting integrado
• Detección automática de ataques L7
• Mitigación automática en tiempo real
• Protección HTTP/HTTPS
• Protección de APIs
• Protección contra HTTP Flood
• Protección contra Slow HTTP Attacks
• Protección contra ataques basados en sesiones
• Protección por URL o endpoint
• Detección basada en comportamiento
• Análisis de anomalías
• Adaptive DDoS Mitigation
• Machine Learning Detection
• Challenge dinámico según riesgo
• Protección específica GraphQL
• Protección específica gRPC
• Mitigación por sesión o identidad
• Detección de ataques de baja intensidad (Low-and-Slow)
• Dashboards y reporting de ataques</t>
  </si>
  <si>
    <t>Capacidad para administrar el ciclo de vida de certificados digitales y aplicar autenticación criptográfica mutua entre clientes, servicios, APIs, garantizando comunicaciones seguras, autenticación fuerte y protección de identidades de máquina.</t>
  </si>
  <si>
    <t>CISO</t>
  </si>
  <si>
    <t>Paula Vaca</t>
  </si>
  <si>
    <t>pvaca@credicorpcapital.com </t>
  </si>
  <si>
    <t>Luxen Gumucio</t>
  </si>
  <si>
    <t>jgumucio@bcp.com.bo </t>
  </si>
  <si>
    <t>Jose Palomino</t>
  </si>
  <si>
    <t>jpalomino@bcpmiami.com </t>
  </si>
  <si>
    <t>Jesus Napuri</t>
  </si>
  <si>
    <t>jesus.napuri@culqi.com</t>
  </si>
  <si>
    <t>Camilo Navas</t>
  </si>
  <si>
    <t>camilonavas@yape.com.pe </t>
  </si>
  <si>
    <t>Viviana Mora</t>
  </si>
  <si>
    <t>viviana.moral@mibanco.com.co</t>
  </si>
  <si>
    <t>Pedro Fernández</t>
  </si>
  <si>
    <t>pedro.fernandez.c@mibanco.com.pe</t>
  </si>
  <si>
    <t>Kelly Correa</t>
  </si>
  <si>
    <t>kelly.correa@monokera.com</t>
  </si>
  <si>
    <t>Juan Luis Morales</t>
  </si>
  <si>
    <t>juanluismorales@pacifico.com.pe</t>
  </si>
  <si>
    <t>Joan Cáceres</t>
  </si>
  <si>
    <t>jocaceres@pacifico.com.pe </t>
  </si>
  <si>
    <t>Kassandra Georgina Jaramillo Calvo</t>
  </si>
  <si>
    <t>kassandrajaramillo@prima.com.pe</t>
  </si>
  <si>
    <t>Sebastian Véliz </t>
  </si>
  <si>
    <t>sebastian.veliz@tenpo.cl</t>
  </si>
  <si>
    <t>Julian Sanchez</t>
  </si>
  <si>
    <t>juliansanchez@tyba.com.co</t>
  </si>
  <si>
    <t>email</t>
  </si>
  <si>
    <t>Paula Vaca;
Jorge Pineda</t>
  </si>
  <si>
    <t>pvaca@credicorpcapital.com ;
jorgepinedah@credicorpcapital.com</t>
  </si>
  <si>
    <t xml:space="preserve"> freddymeres@bcp.com.pe</t>
  </si>
  <si>
    <t>Freddy Javier Meres Vargas</t>
  </si>
  <si>
    <t xml:space="preserve"> luissoto@prima.com.pe; 
miguelvillanuevaa@pacifico.com.pe</t>
  </si>
  <si>
    <t>Felipe Soto; 
Miguel Villanueva</t>
  </si>
  <si>
    <t xml:space="preserve"> cirollanol@bcp.com.bo</t>
  </si>
  <si>
    <t>Cesar Rollano</t>
  </si>
  <si>
    <t xml:space="preserve"> angelo.avalos.pa@mibanco.com.pe</t>
  </si>
  <si>
    <t>Angelo Avalos</t>
  </si>
  <si>
    <t>Confirmo</t>
  </si>
  <si>
    <t>SI</t>
  </si>
  <si>
    <t>WAF</t>
  </si>
  <si>
    <t>Marca</t>
  </si>
  <si>
    <t>ASPER</t>
  </si>
  <si>
    <t xml:space="preserve"> thiago.goncalves@asper.tec.br</t>
  </si>
  <si>
    <t xml:space="preserve"> pbozano@securesoftcorp.com </t>
  </si>
  <si>
    <t xml:space="preserve">Pamela Bozano </t>
  </si>
  <si>
    <t>Contacto</t>
  </si>
  <si>
    <t xml:space="preserve"> lchuica@bcpmiami.com</t>
  </si>
  <si>
    <t>Li Chuica</t>
  </si>
  <si>
    <t xml:space="preserve"> wendys@pe.ibm.com</t>
  </si>
  <si>
    <t xml:space="preserve"> Thiago Goncalves</t>
  </si>
  <si>
    <t>IBM: Wendy Segovia</t>
  </si>
  <si>
    <t xml:space="preserve"> fvaldes@indracompany.com</t>
  </si>
  <si>
    <t xml:space="preserve">Francisco Valdes </t>
  </si>
  <si>
    <t>INDRA</t>
  </si>
  <si>
    <t>Italtel: Moises Perez</t>
  </si>
  <si>
    <t xml:space="preserve"> moises.perez@italtel.com </t>
  </si>
  <si>
    <t>Italtel</t>
  </si>
  <si>
    <t>IBM</t>
  </si>
  <si>
    <t>telefono</t>
  </si>
  <si>
    <t>PARTNER</t>
  </si>
  <si>
    <t>TipoContacto</t>
  </si>
  <si>
    <t>FABRICANTE</t>
  </si>
  <si>
    <t>Nombre Empresa</t>
  </si>
  <si>
    <t>Sebastian Romero</t>
  </si>
  <si>
    <t>+1(512)761-1312</t>
  </si>
  <si>
    <t>Lina Bermudez</t>
  </si>
  <si>
    <t>+57(301)702-2462</t>
  </si>
  <si>
    <t>+(55)1194159-1467</t>
  </si>
  <si>
    <t>+(51)943270217</t>
  </si>
  <si>
    <t xml:space="preserve"> sromeroortega@cloudflare.com</t>
  </si>
  <si>
    <t xml:space="preserve"> lina.bermudez@thalesgroup.com&gt;</t>
  </si>
  <si>
    <t xml:space="preserve"> jairo.melo@thalesgroup.com</t>
  </si>
  <si>
    <t>Jair Melo</t>
  </si>
  <si>
    <t>+57( 315)898-6104</t>
  </si>
  <si>
    <t>+1(26)621 337-67</t>
  </si>
  <si>
    <t>Gabriel Lira Barra</t>
  </si>
  <si>
    <t xml:space="preserve"> gabriel.barra@asper.tec.br</t>
  </si>
  <si>
    <t>NicolasGomez</t>
  </si>
  <si>
    <t>Rodrigo Gutter</t>
  </si>
  <si>
    <t xml:space="preserve"> nicolas-i.gomez@thalesgroup.com</t>
  </si>
  <si>
    <t>Baltazar QUIROZ</t>
  </si>
  <si>
    <t>+(52)552122-1405</t>
  </si>
  <si>
    <t xml:space="preserve"> balta.quiroz@thalesgroup.com</t>
  </si>
  <si>
    <t>ROL</t>
  </si>
  <si>
    <t>tecnico</t>
  </si>
  <si>
    <t>gerente latam</t>
  </si>
  <si>
    <t>gerente waf</t>
  </si>
  <si>
    <t>TAM</t>
  </si>
  <si>
    <t>Gerente Italtel</t>
  </si>
  <si>
    <t>Cuenta LATAM</t>
  </si>
  <si>
    <t xml:space="preserve"> PieroG@radware.com</t>
  </si>
  <si>
    <t xml:space="preserve">Piero Jose Garmendia Ramirez </t>
  </si>
  <si>
    <t>+(51) 990449400</t>
  </si>
  <si>
    <t>Ivan Delgadillo</t>
  </si>
  <si>
    <t xml:space="preserve"> Ivan.Delgadillo@radware.com</t>
  </si>
  <si>
    <t>Tecnico</t>
  </si>
  <si>
    <t>Comercial Latam</t>
  </si>
  <si>
    <t>+(51) 980411757</t>
  </si>
  <si>
    <t>Comercial</t>
  </si>
  <si>
    <t>Gerente de Cuenta</t>
  </si>
  <si>
    <t>Gerente WAF</t>
  </si>
  <si>
    <t>Cuenta BCP</t>
  </si>
  <si>
    <t>Bryan Terrones</t>
  </si>
  <si>
    <t xml:space="preserve"> bryan.terrones@italtel.com</t>
  </si>
  <si>
    <t xml:space="preserve"> edison.mayo@monokera.com</t>
  </si>
  <si>
    <t>Edison Mayo</t>
  </si>
  <si>
    <t>Tener sesion con Fabricantes sobre dudas el RFP</t>
  </si>
  <si>
    <t>Actualizar RFP con observaciones identificadas</t>
  </si>
  <si>
    <t>Tener sesion con empresas y fabricantes, agrupados por Fabricante</t>
  </si>
  <si>
    <t>Validar Volumetria y capacidades con fabricante</t>
  </si>
  <si>
    <t>Definir fechas de Demostracion con empresas participantes</t>
  </si>
  <si>
    <t>Mejorar la experiencia del usuario, reducir tiempos de respuesta y aumentar resiliencia y escalabilidad de aplicaciones y servicios digitales.
Capacidad para distribuir, acelerar y optimizar la entrega de contenido y aplicaciones desde una red distribuida geográficamente, reduciendo latencia, mejorando disponibilidad y disminuyendo la carga sobre los sistemas de origen.</t>
  </si>
  <si>
    <t>• Permite aplicar diferente tipos caching para la aceleración de contenido al usuario final
• Permite personalizar páginas de error y waiting rooms.
• Caché de contenido estático
• Caché de contenido dinámico
• Aceleración de aplicaciones
• Offload de tráfico al origen
• Optimización de rutas
• Compresión de contenido
• Optimización de imágenes
• Edge Delivery
• Anycast Delivery
• Protección del origen
• Integración con DNS
• Integración con WAF
• Integración con DDoS Protection
• Purga de caché
• Cache Analytics</t>
  </si>
  <si>
    <t>• Permite importar certificados SSL y MTLS propios en diferentes formatos(.cer, .pfx)
• Permite asociar certificados MTLS a varias URL en simultaneo
• Permite restringir la conexión SSL/TLS basado en fingerprint
• Permite especificar los Cipher Suite soportados para la conexión SSL/TLS.
• Emisión de certificados
• Importación de certificados
• Renovación automática de certificados
• Gestión de ciclo de vida
• Inventario de certificados
• Alertas de expiración
• TLS moderno
• TLS cliente-servidor
• TLS hacia origen
• Soporte certificados públicos y privados
• Auditoría de certificados</t>
  </si>
  <si>
    <t>Componentes que se consideren adicionales, opcionales, para la evaluacion, que no estan incluidas en las capacidades mencionadas anteriormente.</t>
  </si>
  <si>
    <t>DESCRIPCION FABRICANTE</t>
  </si>
  <si>
    <t>funcionalidades cubiertas por el FABRICANTE</t>
  </si>
  <si>
    <t>participacion en calificacion</t>
  </si>
  <si>
    <t>Mi Banco Peru - Revisado</t>
  </si>
  <si>
    <t>2TB</t>
  </si>
  <si>
    <t>2TB &amp; 100MM</t>
  </si>
  <si>
    <t>9 dominios</t>
  </si>
  <si>
    <t>FQDN</t>
  </si>
  <si>
    <t>7 universal (5 dedicados) 
6 custom mtls (para 17 incluso)</t>
  </si>
  <si>
    <t>12 (contratados 9 activos)</t>
  </si>
  <si>
    <t>6.34 MBPS</t>
  </si>
  <si>
    <t>120 MM</t>
  </si>
  <si>
    <t xml:space="preserve">120 MM </t>
  </si>
  <si>
    <t>12 
(12 contratados 9 activos)</t>
  </si>
  <si>
    <t>0.0029 GBPS</t>
  </si>
  <si>
    <t>14
(actualmente 5 dedicados + 8 custom)</t>
  </si>
  <si>
    <t>Bot Protection
(ABP)
en WAP (Basic)</t>
  </si>
  <si>
    <t>API Protection / 
API Security (Basic)</t>
  </si>
  <si>
    <t>X</t>
  </si>
  <si>
    <t>Mi Banco Colombia - Entregado</t>
  </si>
  <si>
    <t>Mi Banco Colombia - Revisado</t>
  </si>
  <si>
    <t>+57(310)558-6056</t>
  </si>
  <si>
    <t xml:space="preserve">Francisco Carreño: 
Art Gonzales: </t>
  </si>
  <si>
    <t xml:space="preserve"> francisco.carreno@tenpo.cl;
 art.gonzales@tenpo.cl</t>
  </si>
  <si>
    <t xml:space="preserve">Victoria Alexandra Perez Cerveleon ;
Stiben Pérez ;
</t>
  </si>
  <si>
    <t xml:space="preserve"> stiben@tyba.com.co ; 
victoriaperez@tyba.com.co;</t>
  </si>
  <si>
    <t>0,100000</t>
  </si>
  <si>
    <t>sin referencia</t>
  </si>
  <si>
    <t xml:space="preserve"> sacosta@asbnet.com.pa;
rbarcenas@asbnet.com.pa;
vvargas@credicorpcapital.com; eespitia@credicorpcapital.com;
guillermolluen@credicorpcapital.com</t>
  </si>
  <si>
    <t>Sherly Acosta;
Roberto Barcenas;
Victor Hugo Vargas (frontdoor); 
Erwin espitia;
Guillermo Steven Lluen (cloudflare)</t>
  </si>
  <si>
    <t>Multi país</t>
  </si>
  <si>
    <t xml:space="preserve"> fredymendez@bcp.com.pe</t>
  </si>
  <si>
    <t>Fredy Gerardo Mendez Gonzales</t>
  </si>
  <si>
    <t xml:space="preserve"> fredymendez@bcp.com.pe;
 rodrigoadiaz@bcp.com.pe</t>
  </si>
  <si>
    <t>Fredy Gerardo Mendez Gonzales;
Rodrigo Diaz Romero</t>
  </si>
  <si>
    <t>Cesar Rollano;
 Fredy Gerardo Mendez Gonzales;
 Rodrigo Diaz Romero</t>
  </si>
  <si>
    <t xml:space="preserve"> cirollanol@bcp.com.bo;
 fredymendez@bcp.com.pe;
 rodrigoadiaz@bcp.com.pe</t>
  </si>
  <si>
    <t xml:space="preserve"> angelo.avalos.pa@mibanco.com.pe;
 giancarlo.palacios.l@mibanco.com.pe</t>
  </si>
  <si>
    <t>Angelo Avalos;
Giancarlo Andre Palacios Loayza</t>
  </si>
  <si>
    <t>PRESUPUESTO ANUAL</t>
  </si>
  <si>
    <r>
      <t xml:space="preserve"> StefanoArrietaE@pacifico.com.pe;
</t>
    </r>
    <r>
      <rPr>
        <sz val="9"/>
        <color rgb="FFFF0000"/>
        <rFont val="Flexo"/>
        <family val="3"/>
      </rPr>
      <t>miguel.valeriano@aliada.com.pe;
abautista@clinicasanfelipe.com</t>
    </r>
  </si>
  <si>
    <r>
      <t xml:space="preserve">Stefano Ivan Arrieta Escalaya;
</t>
    </r>
    <r>
      <rPr>
        <sz val="9"/>
        <color rgb="FFFF0000"/>
        <rFont val="Flexo"/>
        <family val="3"/>
      </rPr>
      <t>Miguel Valeriano;
Alexis Bautista</t>
    </r>
  </si>
  <si>
    <r>
      <t xml:space="preserve"> Stefano Ivan Arrieta Escalaya;
</t>
    </r>
    <r>
      <rPr>
        <sz val="9"/>
        <color rgb="FFFF0000"/>
        <rFont val="Flexo"/>
        <family val="3"/>
      </rPr>
      <t xml:space="preserve">Wilian Fabian ;
Miguel Valeriano </t>
    </r>
  </si>
  <si>
    <r>
      <t xml:space="preserve"> StefanoArrietaE@pacifico.com.pe;
</t>
    </r>
    <r>
      <rPr>
        <sz val="9"/>
        <color rgb="FFFF0000"/>
        <rFont val="Flexo"/>
        <family val="3"/>
      </rPr>
      <t>WilianFabianE@pacifico.com.pe;
miguel.valeriano@aliada.com.pe</t>
    </r>
  </si>
  <si>
    <t>Pacifico Prestaciones / Laboratorios</t>
  </si>
  <si>
    <t>PACIFICO SALUD</t>
  </si>
  <si>
    <t>iO</t>
  </si>
  <si>
    <t>CREDICORP CAPITAL</t>
  </si>
  <si>
    <t>Banco de Crédito de Miami</t>
  </si>
  <si>
    <t>Mi Banco Colombia</t>
  </si>
  <si>
    <t>Yape Perú</t>
  </si>
  <si>
    <t>Yape Bolivia</t>
  </si>
  <si>
    <t>Banco de Crédito de Bolivia</t>
  </si>
  <si>
    <t>Especialistas de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</si>
</sst>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00000"/>
    <numFmt numFmtId="166" formatCode="0.0000000"/>
    <numFmt numFmtId="167" formatCode="_-[$$-409]* #,##0.00_ ;_-[$$-409]* \-#,##0.00\ ;_-[$$-409]* &quot;-&quot;??_ ;_-@_ "/>
  </numFmts>
  <fonts count="42">
    <font>
      <sz val="11"/>
      <color theme="1"/>
      <name val="Aptos Narrow"/>
      <family val="2"/>
      <scheme val="minor"/>
    </font>
    <font>
      <sz val="10"/>
      <color rgb="FFFF0000"/>
      <name val="Flexo"/>
      <family val="3"/>
    </font>
    <font>
      <sz val="11"/>
      <color theme="1"/>
      <name val="Flexo"/>
      <family val="3"/>
    </font>
    <font>
      <b/>
      <sz val="12"/>
      <color rgb="FF000000"/>
      <name val="Aptos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2F2F2"/>
      <name val="Aptos Narrow"/>
      <family val="2"/>
      <scheme val="minor"/>
    </font>
    <font>
      <b/>
      <sz val="9"/>
      <color rgb="FFF2F2F2"/>
      <name val="Flexo"/>
      <family val="3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8"/>
      <color theme="1"/>
      <name val="Aptos"/>
      <family val="2"/>
    </font>
    <font>
      <sz val="10"/>
      <name val="Aptos"/>
      <family val="2"/>
    </font>
    <font>
      <sz val="10"/>
      <color theme="1"/>
      <name val="Aptos"/>
      <family val="2"/>
    </font>
    <font>
      <sz val="11"/>
      <color rgb="FF000000"/>
      <name val="Aptos"/>
      <family val="2"/>
    </font>
    <font>
      <b/>
      <sz val="12"/>
      <color rgb="FF000000"/>
      <name val="Aptos Narrow"/>
      <family val="2"/>
    </font>
    <font>
      <b/>
      <sz val="9"/>
      <color rgb="FF000000"/>
      <name val="Flexo"/>
      <family val="3"/>
    </font>
    <font>
      <sz val="9"/>
      <color rgb="FF000000"/>
      <name val="Flexo"/>
      <family val="3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24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0"/>
      <name val="Aptos Narrow"/>
      <family val="2"/>
      <scheme val="minor"/>
    </font>
    <font>
      <sz val="10"/>
      <color rgb="FFFF0000"/>
      <name val="Aptos"/>
      <family val="2"/>
    </font>
    <font>
      <sz val="10"/>
      <color rgb="FFFF0000"/>
      <name val="Aptos Narrow"/>
      <family val="2"/>
      <scheme val="minor"/>
    </font>
    <font>
      <sz val="9"/>
      <color rgb="FFFF0000"/>
      <name val="Flexo"/>
      <family val="3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rgb="FF000000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304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top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0" fillId="12" borderId="1" xfId="0" applyFill="1" applyBorder="1"/>
    <xf numFmtId="0" fontId="7" fillId="11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14" borderId="1" xfId="0" applyFont="1" applyFill="1" applyBorder="1" applyAlignment="1">
      <alignment horizontal="center" vertical="center" wrapText="1"/>
    </xf>
    <xf numFmtId="167" fontId="14" fillId="1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7" fontId="0" fillId="0" borderId="1" xfId="0" applyNumberForma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0" fontId="18" fillId="15" borderId="0" xfId="0" applyFont="1" applyFill="1"/>
    <xf numFmtId="0" fontId="18" fillId="15" borderId="17" xfId="0" applyFont="1" applyFill="1" applyBorder="1"/>
    <xf numFmtId="0" fontId="18" fillId="15" borderId="18" xfId="0" applyFont="1" applyFill="1" applyBorder="1"/>
    <xf numFmtId="43" fontId="0" fillId="0" borderId="0" xfId="1" applyFont="1"/>
    <xf numFmtId="0" fontId="0" fillId="16" borderId="19" xfId="0" applyFill="1" applyBorder="1"/>
    <xf numFmtId="43" fontId="0" fillId="16" borderId="20" xfId="1" applyFont="1" applyFill="1" applyBorder="1"/>
    <xf numFmtId="0" fontId="0" fillId="11" borderId="19" xfId="0" applyFill="1" applyBorder="1"/>
    <xf numFmtId="43" fontId="0" fillId="11" borderId="20" xfId="1" applyFont="1" applyFill="1" applyBorder="1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0" fillId="16" borderId="19" xfId="0" applyFill="1" applyBorder="1" applyAlignment="1">
      <alignment vertical="center" wrapText="1"/>
    </xf>
    <xf numFmtId="43" fontId="0" fillId="16" borderId="20" xfId="1" applyFont="1" applyFill="1" applyBorder="1" applyAlignment="1">
      <alignment vertical="center"/>
    </xf>
    <xf numFmtId="0" fontId="15" fillId="17" borderId="21" xfId="0" applyFont="1" applyFill="1" applyBorder="1"/>
    <xf numFmtId="43" fontId="15" fillId="17" borderId="22" xfId="1" applyFont="1" applyFill="1" applyBorder="1"/>
    <xf numFmtId="0" fontId="7" fillId="0" borderId="0" xfId="0" applyFont="1"/>
    <xf numFmtId="0" fontId="0" fillId="8" borderId="1" xfId="0" applyFill="1" applyBorder="1" applyAlignment="1">
      <alignment horizontal="center" wrapText="1"/>
    </xf>
    <xf numFmtId="43" fontId="0" fillId="0" borderId="0" xfId="1" applyFont="1" applyAlignment="1">
      <alignment horizontal="right"/>
    </xf>
    <xf numFmtId="43" fontId="0" fillId="0" borderId="0" xfId="1" applyFont="1" applyAlignment="1">
      <alignment horizontal="right" vertical="center"/>
    </xf>
    <xf numFmtId="0" fontId="7" fillId="18" borderId="0" xfId="0" applyFont="1" applyFill="1"/>
    <xf numFmtId="43" fontId="7" fillId="18" borderId="0" xfId="1" applyFont="1" applyFill="1" applyAlignment="1">
      <alignment horizontal="righ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0" fillId="0" borderId="3" xfId="0" applyBorder="1"/>
    <xf numFmtId="0" fontId="9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19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165" fontId="0" fillId="0" borderId="33" xfId="0" applyNumberFormat="1" applyBorder="1" applyAlignment="1">
      <alignment horizontal="left" vertical="top" textRotation="180"/>
    </xf>
    <xf numFmtId="165" fontId="0" fillId="0" borderId="36" xfId="0" applyNumberFormat="1" applyBorder="1" applyAlignment="1">
      <alignment horizontal="left" vertical="top" textRotation="180"/>
    </xf>
    <xf numFmtId="0" fontId="11" fillId="0" borderId="3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7" fillId="11" borderId="23" xfId="0" applyFont="1" applyFill="1" applyBorder="1"/>
    <xf numFmtId="0" fontId="7" fillId="11" borderId="24" xfId="0" applyFont="1" applyFill="1" applyBorder="1"/>
    <xf numFmtId="0" fontId="7" fillId="11" borderId="25" xfId="0" applyFont="1" applyFill="1" applyBorder="1"/>
    <xf numFmtId="0" fontId="7" fillId="0" borderId="3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0" fillId="11" borderId="34" xfId="0" applyFont="1" applyFill="1" applyBorder="1" applyAlignment="1">
      <alignment horizontal="center" vertical="center" textRotation="90" wrapText="1"/>
    </xf>
    <xf numFmtId="0" fontId="20" fillId="11" borderId="35" xfId="0" applyFont="1" applyFill="1" applyBorder="1" applyAlignment="1">
      <alignment horizontal="center" vertical="center" textRotation="180" wrapText="1"/>
    </xf>
    <xf numFmtId="165" fontId="11" fillId="0" borderId="4" xfId="0" applyNumberFormat="1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0" fillId="11" borderId="35" xfId="0" applyFont="1" applyFill="1" applyBorder="1" applyAlignment="1">
      <alignment horizontal="center" vertical="center" textRotation="90" wrapText="1"/>
    </xf>
    <xf numFmtId="0" fontId="20" fillId="11" borderId="36" xfId="0" applyFont="1" applyFill="1" applyBorder="1" applyAlignment="1">
      <alignment horizontal="center" vertical="center" textRotation="180"/>
    </xf>
    <xf numFmtId="0" fontId="11" fillId="0" borderId="29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left" vertical="top" textRotation="180"/>
    </xf>
    <xf numFmtId="0" fontId="0" fillId="0" borderId="35" xfId="0" applyBorder="1" applyAlignment="1">
      <alignment horizontal="left" vertical="top" textRotation="180"/>
    </xf>
    <xf numFmtId="165" fontId="0" fillId="0" borderId="25" xfId="0" applyNumberFormat="1" applyBorder="1" applyAlignment="1">
      <alignment horizontal="left" vertical="top" textRotation="180"/>
    </xf>
    <xf numFmtId="0" fontId="7" fillId="0" borderId="12" xfId="0" applyFont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7" fillId="11" borderId="39" xfId="0" applyFont="1" applyFill="1" applyBorder="1" applyAlignment="1">
      <alignment horizontal="center" vertical="center" textRotation="90" wrapText="1"/>
    </xf>
    <xf numFmtId="0" fontId="7" fillId="11" borderId="10" xfId="0" applyFont="1" applyFill="1" applyBorder="1" applyAlignment="1">
      <alignment horizontal="center" vertical="center" textRotation="90" wrapText="1"/>
    </xf>
    <xf numFmtId="0" fontId="7" fillId="11" borderId="11" xfId="0" applyFont="1" applyFill="1" applyBorder="1" applyAlignment="1">
      <alignment horizontal="center" vertical="center" textRotation="90" wrapText="1"/>
    </xf>
    <xf numFmtId="0" fontId="20" fillId="11" borderId="39" xfId="0" applyFont="1" applyFill="1" applyBorder="1" applyAlignment="1">
      <alignment horizontal="center" vertical="center" textRotation="90"/>
    </xf>
    <xf numFmtId="0" fontId="20" fillId="11" borderId="10" xfId="0" applyFont="1" applyFill="1" applyBorder="1" applyAlignment="1">
      <alignment horizontal="center" vertical="center" textRotation="90" wrapText="1"/>
    </xf>
    <xf numFmtId="0" fontId="20" fillId="11" borderId="11" xfId="0" applyFont="1" applyFill="1" applyBorder="1" applyAlignment="1">
      <alignment horizontal="center" vertical="center" textRotation="90" wrapText="1"/>
    </xf>
    <xf numFmtId="0" fontId="0" fillId="4" borderId="2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 textRotation="90"/>
    </xf>
    <xf numFmtId="0" fontId="0" fillId="4" borderId="32" xfId="0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20" fillId="11" borderId="33" xfId="0" applyFont="1" applyFill="1" applyBorder="1" applyAlignment="1">
      <alignment horizontal="center" vertical="center" textRotation="90"/>
    </xf>
    <xf numFmtId="0" fontId="10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7" fillId="11" borderId="43" xfId="0" applyFont="1" applyFill="1" applyBorder="1" applyAlignment="1">
      <alignment vertical="center"/>
    </xf>
    <xf numFmtId="17" fontId="7" fillId="11" borderId="24" xfId="0" applyNumberFormat="1" applyFont="1" applyFill="1" applyBorder="1" applyAlignment="1">
      <alignment horizontal="center" vertical="center" textRotation="90"/>
    </xf>
    <xf numFmtId="17" fontId="7" fillId="11" borderId="25" xfId="0" applyNumberFormat="1" applyFont="1" applyFill="1" applyBorder="1" applyAlignment="1">
      <alignment horizontal="center" vertical="center" textRotation="90"/>
    </xf>
    <xf numFmtId="17" fontId="7" fillId="11" borderId="23" xfId="0" applyNumberFormat="1" applyFont="1" applyFill="1" applyBorder="1" applyAlignment="1">
      <alignment horizontal="center" vertical="center" textRotation="90"/>
    </xf>
    <xf numFmtId="0" fontId="7" fillId="0" borderId="3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165" fontId="22" fillId="0" borderId="1" xfId="0" quotePrefix="1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 wrapText="1"/>
    </xf>
    <xf numFmtId="166" fontId="22" fillId="0" borderId="1" xfId="0" quotePrefix="1" applyNumberFormat="1" applyFont="1" applyBorder="1" applyAlignment="1">
      <alignment vertical="center" wrapText="1"/>
    </xf>
    <xf numFmtId="164" fontId="25" fillId="3" borderId="1" xfId="0" applyNumberFormat="1" applyFont="1" applyFill="1" applyBorder="1" applyAlignment="1">
      <alignment horizontal="center" vertical="center"/>
    </xf>
    <xf numFmtId="17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/>
    </xf>
    <xf numFmtId="17" fontId="22" fillId="0" borderId="1" xfId="0" applyNumberFormat="1" applyFont="1" applyBorder="1" applyAlignment="1">
      <alignment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textRotation="90" wrapText="1"/>
    </xf>
    <xf numFmtId="0" fontId="8" fillId="7" borderId="6" xfId="0" applyFont="1" applyFill="1" applyBorder="1" applyAlignment="1">
      <alignment vertical="top" wrapText="1"/>
    </xf>
    <xf numFmtId="0" fontId="8" fillId="7" borderId="4" xfId="0" applyFont="1" applyFill="1" applyBorder="1" applyAlignment="1">
      <alignment vertical="top" wrapText="1"/>
    </xf>
    <xf numFmtId="0" fontId="27" fillId="0" borderId="1" xfId="0" applyFont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center" vertical="top" wrapText="1"/>
    </xf>
    <xf numFmtId="0" fontId="28" fillId="20" borderId="1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9" fillId="21" borderId="1" xfId="0" applyFont="1" applyFill="1" applyBorder="1" applyAlignment="1">
      <alignment vertical="center"/>
    </xf>
    <xf numFmtId="0" fontId="29" fillId="0" borderId="1" xfId="0" applyFont="1" applyBorder="1" applyAlignment="1">
      <alignment horizontal="left" vertical="top" wrapText="1"/>
    </xf>
    <xf numFmtId="17" fontId="29" fillId="21" borderId="1" xfId="0" applyNumberFormat="1" applyFont="1" applyFill="1" applyBorder="1" applyAlignment="1">
      <alignment horizontal="left" vertical="top"/>
    </xf>
    <xf numFmtId="0" fontId="29" fillId="21" borderId="1" xfId="0" applyFont="1" applyFill="1" applyBorder="1" applyAlignment="1">
      <alignment horizontal="left" vertical="top"/>
    </xf>
    <xf numFmtId="0" fontId="3" fillId="2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30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4" fillId="23" borderId="49" xfId="0" applyFont="1" applyFill="1" applyBorder="1" applyAlignment="1">
      <alignment horizontal="center" vertical="center" wrapText="1"/>
    </xf>
    <xf numFmtId="0" fontId="32" fillId="0" borderId="49" xfId="0" applyFont="1" applyBorder="1" applyAlignment="1">
      <alignment vertical="center" wrapText="1"/>
    </xf>
    <xf numFmtId="0" fontId="35" fillId="0" borderId="0" xfId="0" applyFont="1" applyAlignment="1">
      <alignment vertical="center"/>
    </xf>
    <xf numFmtId="0" fontId="29" fillId="0" borderId="1" xfId="0" applyFont="1" applyBorder="1" applyAlignment="1">
      <alignment vertical="center"/>
    </xf>
    <xf numFmtId="17" fontId="29" fillId="0" borderId="1" xfId="0" applyNumberFormat="1" applyFont="1" applyBorder="1" applyAlignment="1">
      <alignment horizontal="left" vertical="top"/>
    </xf>
    <xf numFmtId="0" fontId="0" fillId="0" borderId="0" xfId="0" applyAlignment="1">
      <alignment vertical="center" wrapText="1"/>
    </xf>
    <xf numFmtId="14" fontId="28" fillId="20" borderId="1" xfId="0" applyNumberFormat="1" applyFont="1" applyFill="1" applyBorder="1" applyAlignment="1">
      <alignment horizontal="right" vertical="center" wrapText="1"/>
    </xf>
    <xf numFmtId="14" fontId="29" fillId="0" borderId="1" xfId="0" applyNumberFormat="1" applyFont="1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 wrapText="1"/>
    </xf>
    <xf numFmtId="0" fontId="38" fillId="0" borderId="1" xfId="2" applyFont="1" applyBorder="1" applyAlignment="1">
      <alignment vertical="center" wrapText="1"/>
    </xf>
    <xf numFmtId="0" fontId="36" fillId="0" borderId="2" xfId="0" applyFont="1" applyBorder="1" applyAlignment="1">
      <alignment vertical="center"/>
    </xf>
    <xf numFmtId="0" fontId="0" fillId="0" borderId="1" xfId="0" quotePrefix="1" applyBorder="1"/>
    <xf numFmtId="0" fontId="2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165" fontId="39" fillId="8" borderId="1" xfId="0" quotePrefix="1" applyNumberFormat="1" applyFont="1" applyFill="1" applyBorder="1" applyAlignment="1">
      <alignment vertical="center" wrapText="1"/>
    </xf>
    <xf numFmtId="166" fontId="39" fillId="8" borderId="1" xfId="0" quotePrefix="1" applyNumberFormat="1" applyFont="1" applyFill="1" applyBorder="1" applyAlignment="1">
      <alignment vertical="center" wrapText="1"/>
    </xf>
    <xf numFmtId="164" fontId="39" fillId="2" borderId="1" xfId="0" applyNumberFormat="1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left" vertical="center" textRotation="90" wrapText="1"/>
    </xf>
    <xf numFmtId="0" fontId="3" fillId="24" borderId="1" xfId="0" applyFont="1" applyFill="1" applyBorder="1" applyAlignment="1">
      <alignment horizontal="center" vertical="center" textRotation="90" wrapText="1"/>
    </xf>
    <xf numFmtId="0" fontId="40" fillId="0" borderId="1" xfId="0" applyFont="1" applyBorder="1" applyAlignment="1">
      <alignment horizontal="center" vertical="center" wrapText="1"/>
    </xf>
    <xf numFmtId="164" fontId="25" fillId="2" borderId="1" xfId="0" applyNumberFormat="1" applyFont="1" applyFill="1" applyBorder="1" applyAlignment="1">
      <alignment horizontal="center" vertical="center" wrapText="1"/>
    </xf>
    <xf numFmtId="165" fontId="25" fillId="0" borderId="1" xfId="0" quotePrefix="1" applyNumberFormat="1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5" fontId="25" fillId="2" borderId="1" xfId="0" quotePrefix="1" applyNumberFormat="1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vertical="top" wrapText="1"/>
    </xf>
    <xf numFmtId="165" fontId="39" fillId="2" borderId="1" xfId="0" quotePrefix="1" applyNumberFormat="1" applyFont="1" applyFill="1" applyBorder="1" applyAlignment="1">
      <alignment vertical="center" wrapText="1"/>
    </xf>
    <xf numFmtId="165" fontId="22" fillId="2" borderId="1" xfId="0" quotePrefix="1" applyNumberFormat="1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164" fontId="25" fillId="2" borderId="1" xfId="0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vertical="top" wrapText="1"/>
    </xf>
    <xf numFmtId="0" fontId="0" fillId="2" borderId="1" xfId="0" applyFill="1" applyBorder="1"/>
    <xf numFmtId="0" fontId="7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7" fontId="7" fillId="11" borderId="40" xfId="0" applyNumberFormat="1" applyFont="1" applyFill="1" applyBorder="1" applyAlignment="1">
      <alignment vertical="center" textRotation="90"/>
    </xf>
    <xf numFmtId="17" fontId="7" fillId="11" borderId="2" xfId="0" applyNumberFormat="1" applyFont="1" applyFill="1" applyBorder="1" applyAlignment="1">
      <alignment horizontal="center" vertical="center" textRotation="90"/>
    </xf>
    <xf numFmtId="17" fontId="7" fillId="11" borderId="2" xfId="0" applyNumberFormat="1" applyFont="1" applyFill="1" applyBorder="1" applyAlignment="1">
      <alignment vertical="center" textRotation="90"/>
    </xf>
    <xf numFmtId="0" fontId="7" fillId="11" borderId="31" xfId="0" applyFont="1" applyFill="1" applyBorder="1" applyAlignment="1">
      <alignment vertical="center" textRotation="90" wrapText="1"/>
    </xf>
    <xf numFmtId="0" fontId="0" fillId="4" borderId="16" xfId="0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0" fontId="7" fillId="11" borderId="43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top" wrapText="1"/>
    </xf>
    <xf numFmtId="17" fontId="29" fillId="21" borderId="2" xfId="0" applyNumberFormat="1" applyFont="1" applyFill="1" applyBorder="1" applyAlignment="1">
      <alignment horizontal="left" vertical="top"/>
    </xf>
    <xf numFmtId="0" fontId="29" fillId="21" borderId="48" xfId="0" applyFont="1" applyFill="1" applyBorder="1" applyAlignment="1">
      <alignment horizontal="left" vertical="top"/>
    </xf>
    <xf numFmtId="0" fontId="29" fillId="21" borderId="3" xfId="0" applyFont="1" applyFill="1" applyBorder="1" applyAlignment="1">
      <alignment horizontal="left" vertical="top"/>
    </xf>
    <xf numFmtId="0" fontId="29" fillId="0" borderId="2" xfId="0" applyFont="1" applyBorder="1" applyAlignment="1">
      <alignment horizontal="left" vertical="center" wrapText="1"/>
    </xf>
    <xf numFmtId="0" fontId="29" fillId="0" borderId="48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7" fillId="11" borderId="44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/>
    </xf>
    <xf numFmtId="0" fontId="7" fillId="11" borderId="5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 textRotation="90" wrapText="1"/>
    </xf>
    <xf numFmtId="0" fontId="7" fillId="11" borderId="25" xfId="0" applyFont="1" applyFill="1" applyBorder="1" applyAlignment="1">
      <alignment horizontal="center" vertical="center" textRotation="90" wrapText="1"/>
    </xf>
    <xf numFmtId="17" fontId="7" fillId="11" borderId="23" xfId="0" applyNumberFormat="1" applyFont="1" applyFill="1" applyBorder="1" applyAlignment="1">
      <alignment horizontal="center" vertical="center" textRotation="90"/>
    </xf>
    <xf numFmtId="17" fontId="7" fillId="11" borderId="24" xfId="0" applyNumberFormat="1" applyFont="1" applyFill="1" applyBorder="1" applyAlignment="1">
      <alignment horizontal="center" vertical="center" textRotation="90"/>
    </xf>
    <xf numFmtId="17" fontId="7" fillId="11" borderId="25" xfId="0" applyNumberFormat="1" applyFont="1" applyFill="1" applyBorder="1" applyAlignment="1">
      <alignment horizontal="center" vertical="center" textRotation="90"/>
    </xf>
    <xf numFmtId="0" fontId="0" fillId="4" borderId="13" xfId="0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5" fontId="11" fillId="0" borderId="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left"/>
    </xf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6">
    <dxf>
      <numFmt numFmtId="4" formatCode="#,##0.00"/>
      <alignment horizontal="right"/>
    </dxf>
    <dxf>
      <numFmt numFmtId="4" formatCode="#,##0.00"/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4" formatCode="#,##0.00"/>
      <alignment horizontal="right"/>
    </dxf>
    <dxf>
      <numFmt numFmtId="4" formatCode="#,##0.00"/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%20de%20Usuarios/s07972/My%20Documents/14-Ejercicio%20Negocion%20con%20Radware/260810%20-%20Estructura%20de%20Costos%20WAFv2%20-%20Todas%20las%20empres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o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A1E8C-294D-4486-8893-CB645732378B}" name="tblResumenSW" displayName="tblResumenSW" ref="A3:D48" totalsRowCount="1" headerRowDxfId="5">
  <tableColumns count="4">
    <tableColumn id="1" xr3:uid="{3D2C5909-864D-4F33-B7F5-14F2EFF6D327}" name="Empresa"/>
    <tableColumn id="2" xr3:uid="{702E59A5-45AA-4A22-A888-EAD2C211313E}" name="Componente"/>
    <tableColumn id="3" xr3:uid="{BB7E958E-E6F7-4312-961C-3228504FD0CD}" name="3 años"/>
    <tableColumn id="4" xr3:uid="{D7AF540D-A941-4266-96E1-F6B112F6ED05}" name="5 añ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75E356-C0DF-4CA4-BE52-A4D3451815AC}" name="tblResumenLabor" displayName="tblResumenLabor" ref="A3:F24" totalsRowShown="0">
  <tableColumns count="6">
    <tableColumn id="1" xr3:uid="{C7352A2A-770B-4042-AEE7-9B041B95A22B}" name="Empresa"/>
    <tableColumn id="2" xr3:uid="{3432264B-BA54-4600-BBFB-ED3F14C1CFEB}" name="Implementación" dataDxfId="4">
      <calculatedColumnFormula>SUMIFS([1]Labor!$H:$H,[1]Labor!$B:$B,tblResumenLabor[[#This Row],[Empresa]],[1]Labor!$C:$C,"Implementación")</calculatedColumnFormula>
    </tableColumn>
    <tableColumn id="3" xr3:uid="{6D431460-C643-4C68-8C9D-F251816D8177}" name="Soporte Local (3 años)" dataDxfId="3">
      <calculatedColumnFormula>SUMIFS([1]Labor!$H:$H,[1]Labor!$B:$B,tblResumenLabor[[#This Row],[Empresa]],[1]Labor!$C:$C,"Soporte Local",[1]Labor!$D:$D,"3")</calculatedColumnFormula>
    </tableColumn>
    <tableColumn id="6" xr3:uid="{64568D0A-D0A6-407A-9D13-E8FEBA32663C}" name="Soporte Local (5 años)" dataDxfId="2">
      <calculatedColumnFormula>SUMIFS([1]Labor!$H:$H,[1]Labor!$B:$B,tblResumenLabor[[#This Row],[Empresa]],[1]Labor!$C:$C,"Soporte Local",[1]Labor!$D:$D,"5")</calculatedColumnFormula>
    </tableColumn>
    <tableColumn id="4" xr3:uid="{223A1F14-855F-4C15-918F-FB42DBA3EF19}" name="Capacitación" dataDxfId="1">
      <calculatedColumnFormula>SUMIFS([1]Labor!$H:$H,[1]Labor!$B:$B,tblResumenLabor[[#This Row],[Empresa]],[1]Labor!$C:$C,"Capacitación")</calculatedColumnFormula>
    </tableColumn>
    <tableColumn id="5" xr3:uid="{0D3C7AF2-3C4E-41D4-87DB-F551F91B8676}" name="Total General" dataDxfId="0">
      <calculatedColumnFormula>tblResumenLabor[[#This Row],[Implementación]]+tblResumenLabor[[#This Row],[Soporte Local (3 años)]]+tblResumenLabor[[#This Row],[Soporte Local (5 años)]]+tblResumenLabor[[#This Row],[Capacitación]]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iviana.moral@mibanco.com.co" TargetMode="External"/><Relationship Id="rId2" Type="http://schemas.openxmlformats.org/officeDocument/2006/relationships/hyperlink" Target="mailto:viviana.moral@mibanco.com.co" TargetMode="External"/><Relationship Id="rId1" Type="http://schemas.openxmlformats.org/officeDocument/2006/relationships/hyperlink" Target="mailto:jesus.napuri@culqi.com" TargetMode="External"/><Relationship Id="rId5" Type="http://schemas.openxmlformats.org/officeDocument/2006/relationships/hyperlink" Target="mailto:sebastian.veliz@tenpo.cl" TargetMode="External"/><Relationship Id="rId4" Type="http://schemas.openxmlformats.org/officeDocument/2006/relationships/hyperlink" Target="mailto:kassandrajaramillo@prima.com.p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viviana.moral@mibanco.com.co" TargetMode="External"/><Relationship Id="rId7" Type="http://schemas.openxmlformats.org/officeDocument/2006/relationships/hyperlink" Target="mailto:StefanoArrietaE@pacifico.com.pe" TargetMode="External"/><Relationship Id="rId2" Type="http://schemas.openxmlformats.org/officeDocument/2006/relationships/hyperlink" Target="mailto:viviana.moral@mibanco.com.co" TargetMode="External"/><Relationship Id="rId1" Type="http://schemas.openxmlformats.org/officeDocument/2006/relationships/hyperlink" Target="mailto:jesus.napuri@culqi.com" TargetMode="External"/><Relationship Id="rId6" Type="http://schemas.openxmlformats.org/officeDocument/2006/relationships/hyperlink" Target="mailto:freddymeres@bcp.com.pe" TargetMode="External"/><Relationship Id="rId5" Type="http://schemas.openxmlformats.org/officeDocument/2006/relationships/hyperlink" Target="mailto:sebastian.veliz@tenpo.cl" TargetMode="External"/><Relationship Id="rId4" Type="http://schemas.openxmlformats.org/officeDocument/2006/relationships/hyperlink" Target="mailto:kassandrajaramillo@prima.com.p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hiago.goncalves@asper.tec.b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F45D-6DE9-40BC-B3BE-7D24A4354A37}">
  <dimension ref="B2:B6"/>
  <sheetViews>
    <sheetView workbookViewId="0">
      <selection activeCell="B7" sqref="B7"/>
    </sheetView>
  </sheetViews>
  <sheetFormatPr baseColWidth="10" defaultRowHeight="14.25"/>
  <sheetData>
    <row r="2" spans="2:2">
      <c r="B2" t="s">
        <v>479</v>
      </c>
    </row>
    <row r="3" spans="2:2">
      <c r="B3" t="s">
        <v>480</v>
      </c>
    </row>
    <row r="4" spans="2:2">
      <c r="B4" t="s">
        <v>481</v>
      </c>
    </row>
    <row r="5" spans="2:2">
      <c r="B5" t="s">
        <v>482</v>
      </c>
    </row>
    <row r="6" spans="2:2">
      <c r="B6" t="s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EB6F-14B9-4E90-8572-D3F67C92EEF3}">
  <dimension ref="A1:H21"/>
  <sheetViews>
    <sheetView workbookViewId="0">
      <selection activeCell="D30" sqref="D30"/>
    </sheetView>
  </sheetViews>
  <sheetFormatPr baseColWidth="10" defaultRowHeight="14.25"/>
  <cols>
    <col min="2" max="2" width="29.375" customWidth="1"/>
    <col min="4" max="4" width="14.625" customWidth="1"/>
    <col min="5" max="8" width="27.875" customWidth="1"/>
  </cols>
  <sheetData>
    <row r="1" spans="1:8">
      <c r="A1" s="169" t="s">
        <v>0</v>
      </c>
      <c r="B1" s="170" t="s">
        <v>1</v>
      </c>
      <c r="C1" s="170" t="s">
        <v>185</v>
      </c>
      <c r="D1" s="170" t="s">
        <v>213</v>
      </c>
      <c r="E1" s="170" t="s">
        <v>83</v>
      </c>
      <c r="F1" s="170" t="s">
        <v>212</v>
      </c>
      <c r="G1" s="170" t="s">
        <v>198</v>
      </c>
      <c r="H1" s="170" t="s">
        <v>199</v>
      </c>
    </row>
    <row r="2" spans="1:8">
      <c r="A2" s="171">
        <v>1</v>
      </c>
      <c r="B2" s="172" t="s">
        <v>4</v>
      </c>
      <c r="C2" s="188" t="s">
        <v>190</v>
      </c>
      <c r="D2" s="189">
        <v>46357</v>
      </c>
      <c r="E2" s="172" t="s">
        <v>5</v>
      </c>
      <c r="F2" s="172" t="s">
        <v>200</v>
      </c>
      <c r="G2" s="172" t="s">
        <v>201</v>
      </c>
      <c r="H2" s="172" t="s">
        <v>202</v>
      </c>
    </row>
    <row r="3" spans="1:8">
      <c r="A3" s="171">
        <v>2</v>
      </c>
      <c r="B3" s="172" t="s">
        <v>20</v>
      </c>
      <c r="C3" s="188" t="s">
        <v>192</v>
      </c>
      <c r="D3" s="189">
        <v>46082</v>
      </c>
      <c r="E3" s="172" t="s">
        <v>2</v>
      </c>
      <c r="F3" s="172" t="s">
        <v>204</v>
      </c>
      <c r="G3" s="172" t="s">
        <v>208</v>
      </c>
      <c r="H3" s="172" t="s">
        <v>202</v>
      </c>
    </row>
    <row r="4" spans="1:8">
      <c r="A4" s="171">
        <v>3</v>
      </c>
      <c r="B4" s="172" t="s">
        <v>189</v>
      </c>
      <c r="C4" s="188" t="s">
        <v>194</v>
      </c>
      <c r="D4" s="189">
        <v>46023</v>
      </c>
      <c r="E4" s="172" t="s">
        <v>5</v>
      </c>
      <c r="F4" s="172" t="s">
        <v>112</v>
      </c>
      <c r="G4" s="172" t="s">
        <v>203</v>
      </c>
      <c r="H4" s="172" t="s">
        <v>202</v>
      </c>
    </row>
    <row r="5" spans="1:8">
      <c r="A5" s="171">
        <v>4</v>
      </c>
      <c r="B5" s="172" t="s">
        <v>12</v>
      </c>
      <c r="C5" s="188" t="s">
        <v>190</v>
      </c>
      <c r="D5" s="189">
        <v>46569</v>
      </c>
      <c r="E5" s="172" t="s">
        <v>113</v>
      </c>
      <c r="F5" s="172" t="s">
        <v>204</v>
      </c>
      <c r="G5" s="172" t="s">
        <v>205</v>
      </c>
      <c r="H5" s="172" t="s">
        <v>206</v>
      </c>
    </row>
    <row r="6" spans="1:8">
      <c r="A6" s="248">
        <v>5</v>
      </c>
      <c r="B6" s="172" t="s">
        <v>106</v>
      </c>
      <c r="C6" s="173" t="s">
        <v>192</v>
      </c>
      <c r="D6" s="250">
        <v>46569</v>
      </c>
      <c r="E6" s="249" t="s">
        <v>5</v>
      </c>
      <c r="F6" s="249" t="s">
        <v>204</v>
      </c>
      <c r="G6" s="249" t="s">
        <v>211</v>
      </c>
      <c r="H6" s="249" t="s">
        <v>202</v>
      </c>
    </row>
    <row r="7" spans="1:8">
      <c r="A7" s="248"/>
      <c r="B7" s="172" t="s">
        <v>107</v>
      </c>
      <c r="C7" s="173" t="s">
        <v>194</v>
      </c>
      <c r="D7" s="251"/>
      <c r="E7" s="249"/>
      <c r="F7" s="249"/>
      <c r="G7" s="249"/>
      <c r="H7" s="249"/>
    </row>
    <row r="8" spans="1:8">
      <c r="A8" s="248"/>
      <c r="B8" s="172" t="s">
        <v>195</v>
      </c>
      <c r="C8" s="173" t="s">
        <v>196</v>
      </c>
      <c r="D8" s="251"/>
      <c r="E8" s="249"/>
      <c r="F8" s="249"/>
      <c r="G8" s="249"/>
      <c r="H8" s="249"/>
    </row>
    <row r="9" spans="1:8">
      <c r="A9" s="248"/>
      <c r="B9" s="172" t="s">
        <v>197</v>
      </c>
      <c r="C9" s="173" t="s">
        <v>190</v>
      </c>
      <c r="D9" s="251"/>
      <c r="E9" s="249"/>
      <c r="F9" s="249"/>
      <c r="G9" s="249"/>
      <c r="H9" s="249"/>
    </row>
    <row r="10" spans="1:8">
      <c r="A10" s="248"/>
      <c r="B10" s="172" t="s">
        <v>110</v>
      </c>
      <c r="C10" s="173" t="s">
        <v>191</v>
      </c>
      <c r="D10" s="252"/>
      <c r="E10" s="249"/>
      <c r="F10" s="249"/>
      <c r="G10" s="249"/>
      <c r="H10" s="249"/>
    </row>
    <row r="11" spans="1:8">
      <c r="A11" s="171">
        <v>6</v>
      </c>
      <c r="B11" s="172" t="s">
        <v>138</v>
      </c>
      <c r="C11" s="173" t="s">
        <v>190</v>
      </c>
      <c r="D11" s="175">
        <v>46600</v>
      </c>
      <c r="E11" s="172" t="s">
        <v>113</v>
      </c>
      <c r="F11" s="172" t="s">
        <v>204</v>
      </c>
      <c r="G11" s="172" t="s">
        <v>205</v>
      </c>
      <c r="H11" s="172" t="s">
        <v>206</v>
      </c>
    </row>
    <row r="12" spans="1:8">
      <c r="A12" s="171">
        <v>7</v>
      </c>
      <c r="B12" s="172" t="s">
        <v>186</v>
      </c>
      <c r="C12" s="173" t="s">
        <v>190</v>
      </c>
      <c r="D12" s="175">
        <v>46600</v>
      </c>
      <c r="E12" s="172" t="s">
        <v>2</v>
      </c>
      <c r="F12" s="172" t="s">
        <v>204</v>
      </c>
      <c r="G12" s="172" t="s">
        <v>208</v>
      </c>
      <c r="H12" s="172" t="s">
        <v>202</v>
      </c>
    </row>
    <row r="13" spans="1:8">
      <c r="A13" s="171">
        <v>8</v>
      </c>
      <c r="B13" s="172" t="s">
        <v>188</v>
      </c>
      <c r="C13" s="173" t="s">
        <v>193</v>
      </c>
      <c r="D13" s="175">
        <v>46631</v>
      </c>
      <c r="E13" s="172" t="s">
        <v>19</v>
      </c>
      <c r="F13" s="172" t="s">
        <v>210</v>
      </c>
      <c r="G13" s="172" t="s">
        <v>209</v>
      </c>
      <c r="H13" s="172" t="s">
        <v>206</v>
      </c>
    </row>
    <row r="14" spans="1:8">
      <c r="A14" s="171">
        <v>9</v>
      </c>
      <c r="B14" s="172" t="s">
        <v>187</v>
      </c>
      <c r="C14" s="173" t="s">
        <v>193</v>
      </c>
      <c r="D14" s="175">
        <v>46631</v>
      </c>
      <c r="E14" s="172" t="s">
        <v>19</v>
      </c>
      <c r="F14" s="172" t="s">
        <v>204</v>
      </c>
      <c r="G14" s="172" t="s">
        <v>209</v>
      </c>
      <c r="H14" s="172" t="s">
        <v>206</v>
      </c>
    </row>
    <row r="15" spans="1:8">
      <c r="A15" s="171">
        <v>10</v>
      </c>
      <c r="B15" s="172" t="s">
        <v>23</v>
      </c>
      <c r="C15" s="173" t="s">
        <v>190</v>
      </c>
      <c r="D15" s="176" t="s">
        <v>3</v>
      </c>
      <c r="E15" s="172" t="s">
        <v>207</v>
      </c>
      <c r="F15" s="172" t="s">
        <v>112</v>
      </c>
      <c r="G15" s="172" t="s">
        <v>203</v>
      </c>
      <c r="H15" s="172" t="s">
        <v>202</v>
      </c>
    </row>
    <row r="16" spans="1:8">
      <c r="A16" s="171">
        <v>11</v>
      </c>
      <c r="B16" s="172" t="s">
        <v>8</v>
      </c>
      <c r="C16" s="173" t="s">
        <v>190</v>
      </c>
      <c r="D16" s="176" t="s">
        <v>3</v>
      </c>
      <c r="E16" s="172" t="s">
        <v>82</v>
      </c>
      <c r="F16" s="172" t="s">
        <v>112</v>
      </c>
      <c r="G16" s="172" t="s">
        <v>203</v>
      </c>
      <c r="H16" s="172" t="s">
        <v>202</v>
      </c>
    </row>
    <row r="17" spans="1:8">
      <c r="A17" s="171">
        <v>12</v>
      </c>
      <c r="B17" s="172" t="s">
        <v>9</v>
      </c>
      <c r="C17" s="173" t="s">
        <v>190</v>
      </c>
      <c r="D17" s="176" t="s">
        <v>3</v>
      </c>
      <c r="E17" s="172" t="s">
        <v>82</v>
      </c>
      <c r="F17" s="172" t="s">
        <v>112</v>
      </c>
      <c r="G17" s="172" t="s">
        <v>203</v>
      </c>
      <c r="H17" s="172" t="s">
        <v>202</v>
      </c>
    </row>
    <row r="18" spans="1:8">
      <c r="A18" s="171">
        <v>13</v>
      </c>
      <c r="B18" s="172" t="s">
        <v>13</v>
      </c>
      <c r="C18" s="173" t="s">
        <v>190</v>
      </c>
      <c r="D18" s="176" t="s">
        <v>3</v>
      </c>
      <c r="E18" s="172" t="s">
        <v>207</v>
      </c>
      <c r="F18" s="172" t="s">
        <v>112</v>
      </c>
      <c r="G18" s="172" t="s">
        <v>203</v>
      </c>
      <c r="H18" s="172" t="s">
        <v>202</v>
      </c>
    </row>
    <row r="19" spans="1:8">
      <c r="A19" s="171">
        <v>14</v>
      </c>
      <c r="B19" s="172" t="s">
        <v>15</v>
      </c>
      <c r="C19" s="173" t="s">
        <v>191</v>
      </c>
      <c r="D19" s="176" t="s">
        <v>3</v>
      </c>
      <c r="E19" s="172" t="s">
        <v>82</v>
      </c>
      <c r="F19" s="172" t="s">
        <v>112</v>
      </c>
      <c r="G19" s="172" t="s">
        <v>203</v>
      </c>
      <c r="H19" s="172" t="s">
        <v>202</v>
      </c>
    </row>
    <row r="20" spans="1:8">
      <c r="A20" s="171">
        <v>15</v>
      </c>
      <c r="B20" s="172" t="s">
        <v>16</v>
      </c>
      <c r="C20" s="173" t="s">
        <v>192</v>
      </c>
      <c r="D20" s="176" t="s">
        <v>3</v>
      </c>
      <c r="E20" s="172" t="s">
        <v>207</v>
      </c>
      <c r="F20" s="172" t="s">
        <v>112</v>
      </c>
      <c r="G20" s="172" t="s">
        <v>203</v>
      </c>
      <c r="H20" s="172" t="s">
        <v>202</v>
      </c>
    </row>
    <row r="21" spans="1:8">
      <c r="A21" s="171">
        <v>16</v>
      </c>
      <c r="B21" s="172" t="s">
        <v>22</v>
      </c>
      <c r="C21" s="173" t="s">
        <v>190</v>
      </c>
      <c r="D21" s="176" t="s">
        <v>3</v>
      </c>
      <c r="E21" s="172" t="s">
        <v>207</v>
      </c>
      <c r="F21" s="172" t="s">
        <v>112</v>
      </c>
      <c r="G21" s="172" t="s">
        <v>203</v>
      </c>
      <c r="H21" s="172" t="s">
        <v>202</v>
      </c>
    </row>
  </sheetData>
  <mergeCells count="6">
    <mergeCell ref="A6:A10"/>
    <mergeCell ref="E6:E10"/>
    <mergeCell ref="F6:F10"/>
    <mergeCell ref="G6:G10"/>
    <mergeCell ref="H6:H10"/>
    <mergeCell ref="D6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91EF-AA10-409A-8C97-B1602C5317FF}">
  <dimension ref="A1:J28"/>
  <sheetViews>
    <sheetView workbookViewId="0">
      <selection activeCell="G25" sqref="G25:J30"/>
    </sheetView>
  </sheetViews>
  <sheetFormatPr baseColWidth="10" defaultRowHeight="14.25"/>
  <cols>
    <col min="1" max="1" width="3" bestFit="1" customWidth="1"/>
    <col min="2" max="2" width="29.375" customWidth="1"/>
    <col min="3" max="3" width="0" hidden="1" customWidth="1"/>
    <col min="4" max="4" width="14.625" hidden="1" customWidth="1"/>
    <col min="5" max="5" width="10.625" customWidth="1"/>
    <col min="6" max="6" width="32.75" customWidth="1"/>
    <col min="7" max="7" width="36.125" customWidth="1"/>
    <col min="8" max="10" width="27.875" customWidth="1"/>
  </cols>
  <sheetData>
    <row r="1" spans="1:10">
      <c r="A1" s="169" t="s">
        <v>0</v>
      </c>
      <c r="B1" s="170" t="s">
        <v>1</v>
      </c>
      <c r="C1" s="170" t="s">
        <v>185</v>
      </c>
      <c r="D1" s="170" t="s">
        <v>213</v>
      </c>
      <c r="E1" s="170" t="s">
        <v>83</v>
      </c>
      <c r="F1" s="170" t="s">
        <v>372</v>
      </c>
      <c r="G1" s="170" t="s">
        <v>399</v>
      </c>
      <c r="H1" s="170" t="s">
        <v>212</v>
      </c>
      <c r="I1" s="170" t="s">
        <v>198</v>
      </c>
      <c r="J1" s="170" t="s">
        <v>199</v>
      </c>
    </row>
    <row r="2" spans="1:10" ht="30" customHeight="1">
      <c r="A2" s="171">
        <v>1</v>
      </c>
      <c r="B2" s="172" t="s">
        <v>4</v>
      </c>
      <c r="C2" s="188" t="s">
        <v>190</v>
      </c>
      <c r="D2" s="189">
        <v>46357</v>
      </c>
      <c r="E2" s="172" t="s">
        <v>5</v>
      </c>
      <c r="F2" s="172" t="s">
        <v>385</v>
      </c>
      <c r="G2" s="172" t="s">
        <v>386</v>
      </c>
      <c r="H2" s="172" t="s">
        <v>200</v>
      </c>
      <c r="I2" s="172" t="s">
        <v>201</v>
      </c>
      <c r="J2" s="172" t="s">
        <v>202</v>
      </c>
    </row>
    <row r="3" spans="1:10" ht="30" customHeight="1">
      <c r="A3" s="171">
        <v>2</v>
      </c>
      <c r="B3" s="172" t="s">
        <v>20</v>
      </c>
      <c r="C3" s="188" t="s">
        <v>192</v>
      </c>
      <c r="D3" s="189">
        <v>46082</v>
      </c>
      <c r="E3" s="172" t="s">
        <v>2</v>
      </c>
      <c r="F3" s="172" t="s">
        <v>383</v>
      </c>
      <c r="G3" s="172" t="s">
        <v>384</v>
      </c>
      <c r="H3" s="172" t="s">
        <v>204</v>
      </c>
      <c r="I3" s="172" t="s">
        <v>208</v>
      </c>
      <c r="J3" s="172" t="s">
        <v>202</v>
      </c>
    </row>
    <row r="4" spans="1:10">
      <c r="A4" s="171">
        <v>3</v>
      </c>
      <c r="B4" s="172" t="s">
        <v>189</v>
      </c>
      <c r="C4" s="188" t="s">
        <v>194</v>
      </c>
      <c r="D4" s="189">
        <v>46023</v>
      </c>
      <c r="E4" s="172" t="s">
        <v>5</v>
      </c>
      <c r="F4" s="172" t="s">
        <v>395</v>
      </c>
      <c r="G4" s="172" t="s">
        <v>396</v>
      </c>
      <c r="H4" s="172" t="s">
        <v>112</v>
      </c>
      <c r="I4" s="172" t="s">
        <v>203</v>
      </c>
      <c r="J4" s="172" t="s">
        <v>202</v>
      </c>
    </row>
    <row r="5" spans="1:10" ht="30" customHeight="1">
      <c r="A5" s="171">
        <v>4</v>
      </c>
      <c r="B5" s="172" t="s">
        <v>12</v>
      </c>
      <c r="C5" s="188" t="s">
        <v>190</v>
      </c>
      <c r="D5" s="189">
        <v>46569</v>
      </c>
      <c r="E5" s="172" t="s">
        <v>113</v>
      </c>
      <c r="F5" s="172" t="s">
        <v>389</v>
      </c>
      <c r="G5" s="172" t="s">
        <v>390</v>
      </c>
      <c r="H5" s="172" t="s">
        <v>204</v>
      </c>
      <c r="I5" s="172" t="s">
        <v>205</v>
      </c>
      <c r="J5" s="172" t="s">
        <v>206</v>
      </c>
    </row>
    <row r="6" spans="1:10" ht="15" customHeight="1">
      <c r="A6" s="248">
        <v>5</v>
      </c>
      <c r="B6" s="172" t="s">
        <v>106</v>
      </c>
      <c r="C6" s="173" t="s">
        <v>192</v>
      </c>
      <c r="D6" s="250">
        <v>46569</v>
      </c>
      <c r="E6" s="256" t="s">
        <v>5</v>
      </c>
      <c r="F6" s="253" t="s">
        <v>400</v>
      </c>
      <c r="G6" s="253" t="s">
        <v>401</v>
      </c>
      <c r="H6" s="249" t="s">
        <v>204</v>
      </c>
      <c r="I6" s="249" t="s">
        <v>211</v>
      </c>
      <c r="J6" s="249" t="s">
        <v>202</v>
      </c>
    </row>
    <row r="7" spans="1:10">
      <c r="A7" s="248"/>
      <c r="B7" s="172" t="s">
        <v>107</v>
      </c>
      <c r="C7" s="173" t="s">
        <v>194</v>
      </c>
      <c r="D7" s="251"/>
      <c r="E7" s="257"/>
      <c r="F7" s="254"/>
      <c r="G7" s="254"/>
      <c r="H7" s="249"/>
      <c r="I7" s="249"/>
      <c r="J7" s="249"/>
    </row>
    <row r="8" spans="1:10">
      <c r="A8" s="248"/>
      <c r="B8" s="172" t="s">
        <v>195</v>
      </c>
      <c r="C8" s="173" t="s">
        <v>196</v>
      </c>
      <c r="D8" s="251"/>
      <c r="E8" s="257"/>
      <c r="F8" s="254"/>
      <c r="G8" s="254"/>
      <c r="H8" s="249"/>
      <c r="I8" s="249"/>
      <c r="J8" s="249"/>
    </row>
    <row r="9" spans="1:10">
      <c r="A9" s="248"/>
      <c r="B9" s="172" t="s">
        <v>197</v>
      </c>
      <c r="C9" s="173" t="s">
        <v>190</v>
      </c>
      <c r="D9" s="251"/>
      <c r="E9" s="257"/>
      <c r="F9" s="254"/>
      <c r="G9" s="254"/>
      <c r="H9" s="249"/>
      <c r="I9" s="249"/>
      <c r="J9" s="249"/>
    </row>
    <row r="10" spans="1:10">
      <c r="A10" s="248"/>
      <c r="B10" s="172" t="s">
        <v>110</v>
      </c>
      <c r="C10" s="173" t="s">
        <v>191</v>
      </c>
      <c r="D10" s="252"/>
      <c r="E10" s="258"/>
      <c r="F10" s="255"/>
      <c r="G10" s="255"/>
      <c r="H10" s="249"/>
      <c r="I10" s="249"/>
      <c r="J10" s="249"/>
    </row>
    <row r="11" spans="1:10" ht="30" customHeight="1">
      <c r="A11" s="171">
        <v>6</v>
      </c>
      <c r="B11" s="172" t="s">
        <v>138</v>
      </c>
      <c r="C11" s="173" t="s">
        <v>190</v>
      </c>
      <c r="D11" s="175">
        <v>46600</v>
      </c>
      <c r="E11" s="172" t="s">
        <v>113</v>
      </c>
      <c r="F11" s="172" t="s">
        <v>389</v>
      </c>
      <c r="G11" s="172" t="s">
        <v>390</v>
      </c>
      <c r="H11" s="172" t="s">
        <v>204</v>
      </c>
      <c r="I11" s="172" t="s">
        <v>205</v>
      </c>
      <c r="J11" s="172" t="s">
        <v>206</v>
      </c>
    </row>
    <row r="12" spans="1:10">
      <c r="A12" s="171">
        <v>7</v>
      </c>
      <c r="B12" s="172" t="s">
        <v>186</v>
      </c>
      <c r="C12" s="173" t="s">
        <v>190</v>
      </c>
      <c r="D12" s="175">
        <v>46600</v>
      </c>
      <c r="E12" s="172" t="s">
        <v>2</v>
      </c>
      <c r="F12" s="172" t="s">
        <v>381</v>
      </c>
      <c r="G12" s="172" t="s">
        <v>382</v>
      </c>
      <c r="H12" s="172" t="s">
        <v>204</v>
      </c>
      <c r="I12" s="172" t="s">
        <v>208</v>
      </c>
      <c r="J12" s="172" t="s">
        <v>202</v>
      </c>
    </row>
    <row r="13" spans="1:10">
      <c r="A13" s="171">
        <v>8</v>
      </c>
      <c r="B13" s="172" t="s">
        <v>188</v>
      </c>
      <c r="C13" s="173" t="s">
        <v>193</v>
      </c>
      <c r="D13" s="175">
        <v>46631</v>
      </c>
      <c r="E13" s="172" t="s">
        <v>19</v>
      </c>
      <c r="F13" s="172" t="s">
        <v>381</v>
      </c>
      <c r="G13" s="172" t="s">
        <v>382</v>
      </c>
      <c r="H13" s="172" t="s">
        <v>210</v>
      </c>
      <c r="I13" s="172" t="s">
        <v>209</v>
      </c>
      <c r="J13" s="172" t="s">
        <v>206</v>
      </c>
    </row>
    <row r="14" spans="1:10">
      <c r="A14" s="171">
        <v>9</v>
      </c>
      <c r="B14" s="172" t="s">
        <v>187</v>
      </c>
      <c r="C14" s="173" t="s">
        <v>193</v>
      </c>
      <c r="D14" s="175">
        <v>46631</v>
      </c>
      <c r="E14" s="172" t="s">
        <v>19</v>
      </c>
      <c r="F14" s="172" t="s">
        <v>375</v>
      </c>
      <c r="G14" s="172" t="s">
        <v>376</v>
      </c>
      <c r="H14" s="172" t="s">
        <v>204</v>
      </c>
      <c r="I14" s="172" t="s">
        <v>209</v>
      </c>
      <c r="J14" s="172" t="s">
        <v>206</v>
      </c>
    </row>
    <row r="15" spans="1:10">
      <c r="A15" s="171">
        <v>10</v>
      </c>
      <c r="B15" s="172" t="s">
        <v>23</v>
      </c>
      <c r="C15" s="173" t="s">
        <v>190</v>
      </c>
      <c r="D15" s="176" t="s">
        <v>3</v>
      </c>
      <c r="E15" s="172" t="s">
        <v>207</v>
      </c>
      <c r="F15" s="172" t="s">
        <v>381</v>
      </c>
      <c r="G15" s="172" t="s">
        <v>382</v>
      </c>
      <c r="H15" s="172" t="s">
        <v>112</v>
      </c>
      <c r="I15" s="172" t="s">
        <v>203</v>
      </c>
      <c r="J15" s="172" t="s">
        <v>202</v>
      </c>
    </row>
    <row r="16" spans="1:10">
      <c r="A16" s="171">
        <v>11</v>
      </c>
      <c r="B16" s="172" t="s">
        <v>8</v>
      </c>
      <c r="C16" s="173" t="s">
        <v>190</v>
      </c>
      <c r="D16" s="176" t="s">
        <v>3</v>
      </c>
      <c r="E16" s="172" t="s">
        <v>82</v>
      </c>
      <c r="F16" s="172" t="s">
        <v>391</v>
      </c>
      <c r="G16" s="172" t="s">
        <v>392</v>
      </c>
      <c r="H16" s="172" t="s">
        <v>112</v>
      </c>
      <c r="I16" s="172" t="s">
        <v>203</v>
      </c>
      <c r="J16" s="172" t="s">
        <v>202</v>
      </c>
    </row>
    <row r="17" spans="1:10">
      <c r="A17" s="171">
        <v>12</v>
      </c>
      <c r="B17" s="172" t="s">
        <v>9</v>
      </c>
      <c r="C17" s="173" t="s">
        <v>190</v>
      </c>
      <c r="D17" s="176" t="s">
        <v>3</v>
      </c>
      <c r="E17" s="172" t="s">
        <v>82</v>
      </c>
      <c r="F17" s="172" t="s">
        <v>393</v>
      </c>
      <c r="G17" s="172" t="s">
        <v>394</v>
      </c>
      <c r="H17" s="172" t="s">
        <v>112</v>
      </c>
      <c r="I17" s="172" t="s">
        <v>203</v>
      </c>
      <c r="J17" s="172" t="s">
        <v>202</v>
      </c>
    </row>
    <row r="18" spans="1:10">
      <c r="A18" s="171">
        <v>13</v>
      </c>
      <c r="B18" s="172" t="s">
        <v>13</v>
      </c>
      <c r="C18" s="173" t="s">
        <v>190</v>
      </c>
      <c r="D18" s="176" t="s">
        <v>3</v>
      </c>
      <c r="E18" s="172" t="s">
        <v>207</v>
      </c>
      <c r="F18" s="172" t="s">
        <v>379</v>
      </c>
      <c r="G18" s="172" t="s">
        <v>380</v>
      </c>
      <c r="H18" s="172" t="s">
        <v>112</v>
      </c>
      <c r="I18" s="172" t="s">
        <v>203</v>
      </c>
      <c r="J18" s="172" t="s">
        <v>202</v>
      </c>
    </row>
    <row r="19" spans="1:10">
      <c r="A19" s="171">
        <v>14</v>
      </c>
      <c r="B19" s="172" t="s">
        <v>15</v>
      </c>
      <c r="C19" s="173" t="s">
        <v>191</v>
      </c>
      <c r="D19" s="176" t="s">
        <v>3</v>
      </c>
      <c r="E19" s="172" t="s">
        <v>82</v>
      </c>
      <c r="F19" s="172" t="s">
        <v>377</v>
      </c>
      <c r="G19" s="172" t="s">
        <v>378</v>
      </c>
      <c r="H19" s="172" t="s">
        <v>112</v>
      </c>
      <c r="I19" s="172" t="s">
        <v>203</v>
      </c>
      <c r="J19" s="172" t="s">
        <v>202</v>
      </c>
    </row>
    <row r="20" spans="1:10">
      <c r="A20" s="171">
        <v>15</v>
      </c>
      <c r="B20" s="172" t="s">
        <v>16</v>
      </c>
      <c r="C20" s="173" t="s">
        <v>192</v>
      </c>
      <c r="D20" s="176" t="s">
        <v>3</v>
      </c>
      <c r="E20" s="172" t="s">
        <v>207</v>
      </c>
      <c r="F20" s="172" t="s">
        <v>387</v>
      </c>
      <c r="G20" s="172" t="s">
        <v>388</v>
      </c>
      <c r="H20" s="172" t="s">
        <v>112</v>
      </c>
      <c r="I20" s="172" t="s">
        <v>203</v>
      </c>
      <c r="J20" s="172" t="s">
        <v>202</v>
      </c>
    </row>
    <row r="21" spans="1:10">
      <c r="A21" s="171">
        <v>16</v>
      </c>
      <c r="B21" s="172" t="s">
        <v>22</v>
      </c>
      <c r="C21" s="173" t="s">
        <v>190</v>
      </c>
      <c r="D21" s="176" t="s">
        <v>3</v>
      </c>
      <c r="E21" s="172" t="s">
        <v>207</v>
      </c>
      <c r="F21" s="172" t="s">
        <v>397</v>
      </c>
      <c r="G21" s="172" t="s">
        <v>398</v>
      </c>
      <c r="H21" s="172" t="s">
        <v>112</v>
      </c>
      <c r="I21" s="172" t="s">
        <v>203</v>
      </c>
      <c r="J21" s="172" t="s">
        <v>202</v>
      </c>
    </row>
    <row r="27" spans="1:10">
      <c r="H27" s="190"/>
      <c r="I27" s="190"/>
    </row>
    <row r="28" spans="1:10">
      <c r="H28" s="190"/>
      <c r="I28" s="190"/>
    </row>
  </sheetData>
  <mergeCells count="8">
    <mergeCell ref="J6:J10"/>
    <mergeCell ref="F6:F10"/>
    <mergeCell ref="G6:G10"/>
    <mergeCell ref="A6:A10"/>
    <mergeCell ref="D6:D10"/>
    <mergeCell ref="E6:E10"/>
    <mergeCell ref="H6:H10"/>
    <mergeCell ref="I6:I10"/>
  </mergeCells>
  <hyperlinks>
    <hyperlink ref="G18" r:id="rId1" tooltip="mailto:jesus.napuri@culqi.com" display="mailto:jesus.napuri@culqi.com" xr:uid="{4655E441-62A4-40A1-BD8D-DD9B7DD8434B}"/>
    <hyperlink ref="F3" r:id="rId2" tooltip="mailto:viviana.moral@mibanco.com.co" display="mailto:viviana.moral@mibanco.com.co" xr:uid="{8B64CD22-4C5D-4F49-9979-919400D83E1C}"/>
    <hyperlink ref="G3" r:id="rId3" tooltip="mailto:viviana.moral@mibanco.com.co" display="mailto:viviana.moral@mibanco.com.co" xr:uid="{D56DC77C-C78B-4ED9-93B8-D74398AFDD39}"/>
    <hyperlink ref="G17" r:id="rId4" tooltip="mailto:kassandrajaramillo@prima.com.pe" display="mailto:kassandrajaramillo@prima.com.pe" xr:uid="{EEB1A108-E9A3-405D-8628-90FBDD2E7F36}"/>
    <hyperlink ref="G4" r:id="rId5" tooltip="mailto:sebastian.veliz@tenpo.cl" display="mailto:sebastian.veliz@tenpo.cl" xr:uid="{A313EE34-BFD4-4EB7-8202-6413DE9F8E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2AEC-EBF8-4B24-BFAE-9696F3BA5C01}">
  <dimension ref="A1:N24"/>
  <sheetViews>
    <sheetView tabSelected="1" workbookViewId="0">
      <selection activeCell="J22" sqref="J22"/>
    </sheetView>
  </sheetViews>
  <sheetFormatPr baseColWidth="10" defaultRowHeight="14.25"/>
  <cols>
    <col min="1" max="1" width="7.625" bestFit="1" customWidth="1"/>
    <col min="2" max="2" width="29.375" customWidth="1"/>
    <col min="3" max="3" width="11.375" hidden="1" customWidth="1"/>
    <col min="4" max="4" width="14.625" style="193" hidden="1" customWidth="1"/>
    <col min="5" max="5" width="13.375" hidden="1" customWidth="1"/>
    <col min="6" max="6" width="32.75" hidden="1" customWidth="1"/>
    <col min="7" max="7" width="39.125" hidden="1" customWidth="1"/>
    <col min="8" max="8" width="9.625" hidden="1" customWidth="1"/>
    <col min="9" max="9" width="36.75" customWidth="1"/>
    <col min="10" max="11" width="33.125" customWidth="1"/>
    <col min="12" max="14" width="27.875" customWidth="1"/>
  </cols>
  <sheetData>
    <row r="1" spans="1:14">
      <c r="A1" s="169" t="s">
        <v>0</v>
      </c>
      <c r="B1" s="170" t="s">
        <v>1</v>
      </c>
      <c r="C1" s="170" t="s">
        <v>185</v>
      </c>
      <c r="D1" s="191" t="s">
        <v>213</v>
      </c>
      <c r="E1" s="170" t="s">
        <v>83</v>
      </c>
      <c r="F1" s="170" t="s">
        <v>372</v>
      </c>
      <c r="G1" s="170" t="s">
        <v>399</v>
      </c>
      <c r="H1" s="170" t="s">
        <v>410</v>
      </c>
      <c r="I1" s="170" t="s">
        <v>541</v>
      </c>
      <c r="J1" s="170" t="s">
        <v>399</v>
      </c>
      <c r="K1" s="170" t="s">
        <v>490</v>
      </c>
      <c r="L1" s="170" t="s">
        <v>212</v>
      </c>
      <c r="M1" s="170" t="s">
        <v>198</v>
      </c>
      <c r="N1" s="170" t="s">
        <v>199</v>
      </c>
    </row>
    <row r="2" spans="1:14" ht="36">
      <c r="A2" s="171">
        <v>4</v>
      </c>
      <c r="B2" s="172" t="s">
        <v>532</v>
      </c>
      <c r="C2" s="172" t="s">
        <v>190</v>
      </c>
      <c r="D2" s="192">
        <v>46569</v>
      </c>
      <c r="E2" s="172" t="s">
        <v>113</v>
      </c>
      <c r="F2" s="172" t="s">
        <v>389</v>
      </c>
      <c r="G2" s="172" t="s">
        <v>390</v>
      </c>
      <c r="H2" s="172" t="s">
        <v>411</v>
      </c>
      <c r="I2" s="172" t="s">
        <v>529</v>
      </c>
      <c r="J2" s="172" t="s">
        <v>528</v>
      </c>
      <c r="K2" s="172"/>
      <c r="L2" s="172" t="s">
        <v>204</v>
      </c>
      <c r="M2" s="172" t="s">
        <v>205</v>
      </c>
      <c r="N2" s="172" t="s">
        <v>206</v>
      </c>
    </row>
    <row r="3" spans="1:14" ht="36">
      <c r="A3" s="171">
        <v>6</v>
      </c>
      <c r="B3" s="172" t="s">
        <v>533</v>
      </c>
      <c r="C3" s="172" t="s">
        <v>190</v>
      </c>
      <c r="D3" s="192">
        <v>46600</v>
      </c>
      <c r="E3" s="172" t="s">
        <v>113</v>
      </c>
      <c r="F3" s="172" t="s">
        <v>389</v>
      </c>
      <c r="G3" s="172" t="s">
        <v>390</v>
      </c>
      <c r="H3" s="172" t="s">
        <v>411</v>
      </c>
      <c r="I3" s="172" t="s">
        <v>530</v>
      </c>
      <c r="J3" s="172" t="s">
        <v>531</v>
      </c>
      <c r="K3" s="172"/>
      <c r="L3" s="172" t="s">
        <v>204</v>
      </c>
      <c r="M3" s="172" t="s">
        <v>205</v>
      </c>
      <c r="N3" s="172" t="s">
        <v>206</v>
      </c>
    </row>
    <row r="4" spans="1:14" ht="24">
      <c r="A4" s="171">
        <v>10</v>
      </c>
      <c r="B4" s="172" t="s">
        <v>534</v>
      </c>
      <c r="C4" s="172" t="s">
        <v>190</v>
      </c>
      <c r="D4" s="192" t="s">
        <v>3</v>
      </c>
      <c r="E4" s="172" t="s">
        <v>207</v>
      </c>
      <c r="F4" s="172"/>
      <c r="G4" s="172"/>
      <c r="H4" s="172" t="s">
        <v>411</v>
      </c>
      <c r="I4" s="172" t="s">
        <v>522</v>
      </c>
      <c r="J4" s="172" t="s">
        <v>521</v>
      </c>
      <c r="K4" s="172"/>
      <c r="L4" s="172" t="s">
        <v>112</v>
      </c>
      <c r="M4" s="172" t="s">
        <v>203</v>
      </c>
      <c r="N4" s="172" t="s">
        <v>202</v>
      </c>
    </row>
    <row r="5" spans="1:14">
      <c r="A5" s="171">
        <v>13</v>
      </c>
      <c r="B5" s="172" t="s">
        <v>13</v>
      </c>
      <c r="C5" s="172" t="s">
        <v>190</v>
      </c>
      <c r="D5" s="192" t="s">
        <v>3</v>
      </c>
      <c r="E5" s="172" t="s">
        <v>207</v>
      </c>
      <c r="F5" s="172" t="s">
        <v>379</v>
      </c>
      <c r="G5" s="172" t="s">
        <v>380</v>
      </c>
      <c r="H5" s="172" t="s">
        <v>411</v>
      </c>
      <c r="I5" s="172" t="s">
        <v>403</v>
      </c>
      <c r="J5" s="172" t="s">
        <v>402</v>
      </c>
      <c r="K5" s="172"/>
      <c r="L5" s="172" t="s">
        <v>112</v>
      </c>
      <c r="M5" s="172" t="s">
        <v>203</v>
      </c>
      <c r="N5" s="172" t="s">
        <v>202</v>
      </c>
    </row>
    <row r="6" spans="1:14">
      <c r="A6" s="171">
        <v>15</v>
      </c>
      <c r="B6" s="172" t="s">
        <v>16</v>
      </c>
      <c r="C6" s="172" t="s">
        <v>192</v>
      </c>
      <c r="D6" s="192" t="s">
        <v>3</v>
      </c>
      <c r="E6" s="172" t="s">
        <v>207</v>
      </c>
      <c r="F6" s="172" t="s">
        <v>387</v>
      </c>
      <c r="G6" s="172" t="s">
        <v>388</v>
      </c>
      <c r="H6" s="172" t="s">
        <v>411</v>
      </c>
      <c r="I6" s="172" t="s">
        <v>478</v>
      </c>
      <c r="J6" s="172" t="s">
        <v>477</v>
      </c>
      <c r="K6" s="172"/>
      <c r="L6" s="172" t="s">
        <v>112</v>
      </c>
      <c r="M6" s="172" t="s">
        <v>203</v>
      </c>
      <c r="N6" s="172" t="s">
        <v>202</v>
      </c>
    </row>
    <row r="7" spans="1:14" ht="36">
      <c r="A7" s="171">
        <v>16</v>
      </c>
      <c r="B7" s="172" t="s">
        <v>22</v>
      </c>
      <c r="C7" s="172" t="s">
        <v>190</v>
      </c>
      <c r="D7" s="192" t="s">
        <v>3</v>
      </c>
      <c r="E7" s="172" t="s">
        <v>207</v>
      </c>
      <c r="F7" s="172" t="s">
        <v>397</v>
      </c>
      <c r="G7" s="172" t="s">
        <v>398</v>
      </c>
      <c r="H7" s="172" t="s">
        <v>411</v>
      </c>
      <c r="I7" s="172" t="s">
        <v>512</v>
      </c>
      <c r="J7" s="172" t="s">
        <v>513</v>
      </c>
      <c r="K7" s="172"/>
      <c r="L7" s="172" t="s">
        <v>112</v>
      </c>
      <c r="M7" s="172" t="s">
        <v>203</v>
      </c>
      <c r="N7" s="172" t="s">
        <v>202</v>
      </c>
    </row>
    <row r="8" spans="1:14" ht="24">
      <c r="A8" s="171">
        <v>1</v>
      </c>
      <c r="B8" s="172" t="s">
        <v>123</v>
      </c>
      <c r="C8" s="172" t="s">
        <v>190</v>
      </c>
      <c r="D8" s="192">
        <v>46357</v>
      </c>
      <c r="E8" s="172" t="s">
        <v>5</v>
      </c>
      <c r="F8" s="172" t="s">
        <v>385</v>
      </c>
      <c r="G8" s="172" t="s">
        <v>386</v>
      </c>
      <c r="H8" s="172" t="s">
        <v>411</v>
      </c>
      <c r="I8" s="172" t="s">
        <v>526</v>
      </c>
      <c r="J8" s="172" t="s">
        <v>525</v>
      </c>
      <c r="K8" s="172" t="s">
        <v>411</v>
      </c>
      <c r="L8" s="172" t="s">
        <v>200</v>
      </c>
      <c r="M8" s="172" t="s">
        <v>201</v>
      </c>
      <c r="N8" s="172" t="s">
        <v>202</v>
      </c>
    </row>
    <row r="9" spans="1:14" ht="24">
      <c r="A9" s="171">
        <v>3</v>
      </c>
      <c r="B9" s="172" t="s">
        <v>189</v>
      </c>
      <c r="C9" s="172" t="s">
        <v>194</v>
      </c>
      <c r="D9" s="192">
        <v>46023</v>
      </c>
      <c r="E9" s="172" t="s">
        <v>5</v>
      </c>
      <c r="F9" s="172" t="s">
        <v>395</v>
      </c>
      <c r="G9" s="172" t="s">
        <v>396</v>
      </c>
      <c r="H9" s="172" t="s">
        <v>411</v>
      </c>
      <c r="I9" s="172" t="s">
        <v>510</v>
      </c>
      <c r="J9" s="172" t="s">
        <v>511</v>
      </c>
      <c r="K9" s="172" t="s">
        <v>411</v>
      </c>
      <c r="L9" s="172" t="s">
        <v>112</v>
      </c>
      <c r="M9" s="172" t="s">
        <v>203</v>
      </c>
      <c r="N9" s="172" t="s">
        <v>202</v>
      </c>
    </row>
    <row r="10" spans="1:14" ht="60">
      <c r="A10" s="171">
        <v>5</v>
      </c>
      <c r="B10" s="172" t="s">
        <v>535</v>
      </c>
      <c r="C10" s="172" t="s">
        <v>518</v>
      </c>
      <c r="D10" s="192">
        <v>46569</v>
      </c>
      <c r="E10" s="172" t="s">
        <v>5</v>
      </c>
      <c r="F10" s="172" t="s">
        <v>373</v>
      </c>
      <c r="G10" s="172" t="s">
        <v>374</v>
      </c>
      <c r="H10" s="172" t="s">
        <v>411</v>
      </c>
      <c r="I10" s="172" t="s">
        <v>517</v>
      </c>
      <c r="J10" s="172" t="s">
        <v>516</v>
      </c>
      <c r="K10" s="172"/>
      <c r="L10" s="174" t="s">
        <v>204</v>
      </c>
      <c r="M10" s="174" t="s">
        <v>211</v>
      </c>
      <c r="N10" s="174" t="s">
        <v>202</v>
      </c>
    </row>
    <row r="11" spans="1:14" ht="24">
      <c r="A11" s="171">
        <v>11</v>
      </c>
      <c r="B11" s="172" t="s">
        <v>153</v>
      </c>
      <c r="C11" s="172" t="s">
        <v>190</v>
      </c>
      <c r="D11" s="192" t="s">
        <v>3</v>
      </c>
      <c r="E11" s="172" t="s">
        <v>82</v>
      </c>
      <c r="F11" s="172" t="s">
        <v>391</v>
      </c>
      <c r="G11" s="172" t="s">
        <v>392</v>
      </c>
      <c r="H11" s="172" t="s">
        <v>411</v>
      </c>
      <c r="I11" s="172" t="s">
        <v>405</v>
      </c>
      <c r="J11" s="172" t="s">
        <v>404</v>
      </c>
      <c r="K11" s="172" t="s">
        <v>411</v>
      </c>
      <c r="L11" s="172" t="s">
        <v>112</v>
      </c>
      <c r="M11" s="172" t="s">
        <v>203</v>
      </c>
      <c r="N11" s="172" t="s">
        <v>202</v>
      </c>
    </row>
    <row r="12" spans="1:14" ht="24">
      <c r="A12" s="171">
        <v>12</v>
      </c>
      <c r="B12" s="172" t="s">
        <v>9</v>
      </c>
      <c r="C12" s="172" t="s">
        <v>190</v>
      </c>
      <c r="D12" s="192" t="s">
        <v>3</v>
      </c>
      <c r="E12" s="172" t="s">
        <v>82</v>
      </c>
      <c r="F12" s="172" t="s">
        <v>393</v>
      </c>
      <c r="G12" s="172" t="s">
        <v>394</v>
      </c>
      <c r="H12" s="172" t="s">
        <v>411</v>
      </c>
      <c r="I12" s="172" t="s">
        <v>405</v>
      </c>
      <c r="J12" s="172" t="s">
        <v>404</v>
      </c>
      <c r="K12" s="172" t="s">
        <v>411</v>
      </c>
      <c r="L12" s="172" t="s">
        <v>112</v>
      </c>
      <c r="M12" s="172" t="s">
        <v>203</v>
      </c>
      <c r="N12" s="172" t="s">
        <v>202</v>
      </c>
    </row>
    <row r="13" spans="1:14">
      <c r="A13" s="171">
        <v>14</v>
      </c>
      <c r="B13" s="172" t="s">
        <v>536</v>
      </c>
      <c r="C13" s="172" t="s">
        <v>191</v>
      </c>
      <c r="D13" s="192" t="s">
        <v>3</v>
      </c>
      <c r="E13" s="172" t="s">
        <v>82</v>
      </c>
      <c r="F13" s="172" t="s">
        <v>377</v>
      </c>
      <c r="G13" s="172" t="s">
        <v>378</v>
      </c>
      <c r="H13" s="172" t="s">
        <v>411</v>
      </c>
      <c r="I13" s="172" t="s">
        <v>420</v>
      </c>
      <c r="J13" s="172" t="s">
        <v>419</v>
      </c>
      <c r="K13" s="172"/>
      <c r="L13" s="172" t="s">
        <v>112</v>
      </c>
      <c r="M13" s="172" t="s">
        <v>203</v>
      </c>
      <c r="N13" s="172" t="s">
        <v>202</v>
      </c>
    </row>
    <row r="14" spans="1:14">
      <c r="A14" s="171">
        <v>2</v>
      </c>
      <c r="B14" s="172" t="s">
        <v>537</v>
      </c>
      <c r="C14" s="172" t="s">
        <v>192</v>
      </c>
      <c r="D14" s="192">
        <v>46082</v>
      </c>
      <c r="E14" s="172" t="s">
        <v>2</v>
      </c>
      <c r="F14" s="172" t="s">
        <v>383</v>
      </c>
      <c r="G14" s="172" t="s">
        <v>384</v>
      </c>
      <c r="H14" s="172" t="s">
        <v>411</v>
      </c>
      <c r="I14" s="172" t="s">
        <v>409</v>
      </c>
      <c r="J14" s="172" t="s">
        <v>408</v>
      </c>
      <c r="K14" s="172" t="s">
        <v>411</v>
      </c>
      <c r="L14" s="172" t="s">
        <v>204</v>
      </c>
      <c r="M14" s="172" t="s">
        <v>208</v>
      </c>
      <c r="N14" s="172" t="s">
        <v>202</v>
      </c>
    </row>
    <row r="15" spans="1:14">
      <c r="A15" s="171">
        <v>7</v>
      </c>
      <c r="B15" s="172" t="s">
        <v>538</v>
      </c>
      <c r="C15" s="172" t="s">
        <v>190</v>
      </c>
      <c r="D15" s="192">
        <v>46600</v>
      </c>
      <c r="E15" s="172" t="s">
        <v>2</v>
      </c>
      <c r="F15" s="172" t="s">
        <v>381</v>
      </c>
      <c r="G15" s="172" t="s">
        <v>382</v>
      </c>
      <c r="H15" s="172" t="s">
        <v>411</v>
      </c>
      <c r="I15" s="172" t="s">
        <v>520</v>
      </c>
      <c r="J15" s="172" t="s">
        <v>519</v>
      </c>
      <c r="K15" s="172" t="s">
        <v>411</v>
      </c>
      <c r="L15" s="172" t="s">
        <v>204</v>
      </c>
      <c r="M15" s="172" t="s">
        <v>208</v>
      </c>
      <c r="N15" s="172" t="s">
        <v>202</v>
      </c>
    </row>
    <row r="16" spans="1:14" ht="36">
      <c r="A16" s="171">
        <v>8</v>
      </c>
      <c r="B16" s="172" t="s">
        <v>539</v>
      </c>
      <c r="C16" s="172" t="s">
        <v>193</v>
      </c>
      <c r="D16" s="192">
        <v>46631</v>
      </c>
      <c r="E16" s="172" t="s">
        <v>19</v>
      </c>
      <c r="F16" s="172" t="s">
        <v>381</v>
      </c>
      <c r="G16" s="172" t="s">
        <v>382</v>
      </c>
      <c r="H16" s="172" t="s">
        <v>411</v>
      </c>
      <c r="I16" s="172" t="s">
        <v>523</v>
      </c>
      <c r="J16" s="172" t="s">
        <v>524</v>
      </c>
      <c r="K16" s="172" t="s">
        <v>411</v>
      </c>
      <c r="L16" s="172" t="s">
        <v>210</v>
      </c>
      <c r="M16" s="172" t="s">
        <v>209</v>
      </c>
      <c r="N16" s="172" t="s">
        <v>206</v>
      </c>
    </row>
    <row r="17" spans="1:14">
      <c r="A17" s="171">
        <v>9</v>
      </c>
      <c r="B17" s="172" t="s">
        <v>540</v>
      </c>
      <c r="C17" s="172" t="s">
        <v>193</v>
      </c>
      <c r="D17" s="192">
        <v>46631</v>
      </c>
      <c r="E17" s="172" t="s">
        <v>19</v>
      </c>
      <c r="F17" s="172" t="s">
        <v>375</v>
      </c>
      <c r="G17" s="172" t="s">
        <v>376</v>
      </c>
      <c r="H17" s="172" t="s">
        <v>411</v>
      </c>
      <c r="I17" s="172" t="s">
        <v>407</v>
      </c>
      <c r="J17" s="172" t="s">
        <v>406</v>
      </c>
      <c r="K17" s="172" t="s">
        <v>411</v>
      </c>
      <c r="L17" s="172" t="s">
        <v>204</v>
      </c>
      <c r="M17" s="172" t="s">
        <v>209</v>
      </c>
      <c r="N17" s="172" t="s">
        <v>206</v>
      </c>
    </row>
    <row r="23" spans="1:14">
      <c r="L23" s="190"/>
      <c r="M23" s="190"/>
    </row>
    <row r="24" spans="1:14">
      <c r="L24" s="190"/>
      <c r="M24" s="190"/>
    </row>
  </sheetData>
  <autoFilter ref="A1:N1" xr:uid="{6FC52AEC-EBF8-4B24-BFAE-9696F3BA5C01}">
    <sortState xmlns:xlrd2="http://schemas.microsoft.com/office/spreadsheetml/2017/richdata2" ref="A2:N17">
      <sortCondition ref="E1"/>
    </sortState>
  </autoFilter>
  <hyperlinks>
    <hyperlink ref="G5" r:id="rId1" tooltip="mailto:jesus.napuri@culqi.com" display="mailto:jesus.napuri@culqi.com" xr:uid="{0B10E2A9-E43B-48E5-BA04-1317D4B0FAC0}"/>
    <hyperlink ref="F14" r:id="rId2" tooltip="mailto:viviana.moral@mibanco.com.co" display="mailto:viviana.moral@mibanco.com.co" xr:uid="{F1E36F02-DD35-4E9A-84FB-9C7B65E5071E}"/>
    <hyperlink ref="G14" r:id="rId3" tooltip="mailto:viviana.moral@mibanco.com.co" display="mailto:viviana.moral@mibanco.com.co" xr:uid="{BD7BF83A-C836-4C3A-BB86-02ADD0AA9E98}"/>
    <hyperlink ref="G12" r:id="rId4" tooltip="mailto:kassandrajaramillo@prima.com.pe" display="mailto:kassandrajaramillo@prima.com.pe" xr:uid="{CE90F23E-64F7-493D-A05B-DF0B5BDDFDA3}"/>
    <hyperlink ref="G9" r:id="rId5" tooltip="mailto:sebastian.veliz@tenpo.cl" display="mailto:sebastian.veliz@tenpo.cl" xr:uid="{8A90AB80-A3A8-4E35-A41B-39B63803E6D6}"/>
    <hyperlink ref="J5" r:id="rId6" display="mailto:freddymeres@bcp.com.pe" xr:uid="{620FA1E9-72C2-4BBE-97BF-DC55C9ADA1A6}"/>
    <hyperlink ref="J3" r:id="rId7" display="mailto:StefanoArrietaE@pacifico.com.pe" xr:uid="{86E534FB-FF2D-431F-8662-63833881C5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CC1C-191A-46A7-B3FD-B37C8D0344EC}">
  <dimension ref="A1:G17"/>
  <sheetViews>
    <sheetView workbookViewId="0">
      <selection activeCell="F12" sqref="F12:F17"/>
    </sheetView>
  </sheetViews>
  <sheetFormatPr baseColWidth="10" defaultRowHeight="14.25"/>
  <cols>
    <col min="1" max="1" width="14" customWidth="1"/>
    <col min="2" max="2" width="24.625" customWidth="1"/>
    <col min="3" max="3" width="27" customWidth="1"/>
    <col min="4" max="4" width="16.75" customWidth="1"/>
    <col min="5" max="5" width="18.625" bestFit="1" customWidth="1"/>
    <col min="6" max="6" width="32.875" bestFit="1" customWidth="1"/>
    <col min="7" max="7" width="17.25" bestFit="1" customWidth="1"/>
  </cols>
  <sheetData>
    <row r="1" spans="1:7" ht="15">
      <c r="A1" s="199" t="s">
        <v>412</v>
      </c>
      <c r="B1" s="199"/>
      <c r="C1" s="199"/>
      <c r="D1" s="199"/>
      <c r="E1" s="199"/>
    </row>
    <row r="2" spans="1:7" ht="15">
      <c r="A2" s="194" t="s">
        <v>413</v>
      </c>
      <c r="B2" s="194" t="s">
        <v>433</v>
      </c>
      <c r="C2" s="194" t="s">
        <v>435</v>
      </c>
      <c r="D2" s="194" t="s">
        <v>456</v>
      </c>
      <c r="E2" s="195" t="s">
        <v>418</v>
      </c>
      <c r="F2" s="2" t="s">
        <v>399</v>
      </c>
      <c r="G2" s="2" t="s">
        <v>431</v>
      </c>
    </row>
    <row r="3" spans="1:7">
      <c r="A3" s="196" t="s">
        <v>159</v>
      </c>
      <c r="B3" s="196" t="s">
        <v>434</v>
      </c>
      <c r="C3" s="196" t="s">
        <v>159</v>
      </c>
      <c r="D3" s="196" t="s">
        <v>462</v>
      </c>
      <c r="E3" s="196" t="s">
        <v>436</v>
      </c>
      <c r="F3" s="2" t="s">
        <v>442</v>
      </c>
      <c r="G3" s="200" t="s">
        <v>437</v>
      </c>
    </row>
    <row r="4" spans="1:7">
      <c r="A4" s="196" t="s">
        <v>158</v>
      </c>
      <c r="B4" s="196" t="s">
        <v>434</v>
      </c>
      <c r="C4" s="196" t="s">
        <v>158</v>
      </c>
      <c r="D4" s="196" t="s">
        <v>473</v>
      </c>
      <c r="E4" s="2" t="s">
        <v>438</v>
      </c>
      <c r="F4" s="2" t="s">
        <v>443</v>
      </c>
      <c r="G4" s="200" t="s">
        <v>439</v>
      </c>
    </row>
    <row r="5" spans="1:7">
      <c r="A5" s="196" t="s">
        <v>158</v>
      </c>
      <c r="B5" s="196" t="s">
        <v>434</v>
      </c>
      <c r="C5" s="196" t="s">
        <v>158</v>
      </c>
      <c r="D5" s="196" t="s">
        <v>472</v>
      </c>
      <c r="E5" s="2" t="s">
        <v>445</v>
      </c>
      <c r="F5" s="2" t="s">
        <v>444</v>
      </c>
      <c r="G5" s="200" t="s">
        <v>446</v>
      </c>
    </row>
    <row r="6" spans="1:7">
      <c r="A6" s="196" t="s">
        <v>158</v>
      </c>
      <c r="B6" s="196" t="s">
        <v>434</v>
      </c>
      <c r="C6" s="196" t="s">
        <v>158</v>
      </c>
      <c r="D6" s="196" t="s">
        <v>459</v>
      </c>
      <c r="E6" s="2" t="s">
        <v>450</v>
      </c>
      <c r="F6" s="2" t="s">
        <v>452</v>
      </c>
      <c r="G6" s="200" t="s">
        <v>509</v>
      </c>
    </row>
    <row r="7" spans="1:7">
      <c r="A7" s="196" t="s">
        <v>158</v>
      </c>
      <c r="B7" s="196" t="s">
        <v>434</v>
      </c>
      <c r="C7" s="196" t="s">
        <v>158</v>
      </c>
      <c r="D7" s="196" t="s">
        <v>458</v>
      </c>
      <c r="E7" s="2" t="s">
        <v>451</v>
      </c>
      <c r="F7" s="2"/>
      <c r="G7" s="2"/>
    </row>
    <row r="8" spans="1:7">
      <c r="A8" s="196" t="s">
        <v>158</v>
      </c>
      <c r="B8" s="196" t="s">
        <v>434</v>
      </c>
      <c r="C8" s="196" t="s">
        <v>158</v>
      </c>
      <c r="D8" s="196" t="s">
        <v>457</v>
      </c>
      <c r="E8" s="2" t="s">
        <v>453</v>
      </c>
      <c r="F8" s="2" t="s">
        <v>455</v>
      </c>
      <c r="G8" s="200" t="s">
        <v>454</v>
      </c>
    </row>
    <row r="9" spans="1:7">
      <c r="A9" s="196" t="s">
        <v>19</v>
      </c>
      <c r="B9" s="196" t="s">
        <v>434</v>
      </c>
      <c r="C9" s="196" t="s">
        <v>19</v>
      </c>
      <c r="D9" s="196" t="s">
        <v>469</v>
      </c>
      <c r="E9" s="2" t="s">
        <v>464</v>
      </c>
      <c r="F9" s="2" t="s">
        <v>463</v>
      </c>
      <c r="G9" s="200" t="s">
        <v>465</v>
      </c>
    </row>
    <row r="10" spans="1:7">
      <c r="A10" s="196" t="s">
        <v>19</v>
      </c>
      <c r="B10" s="196" t="s">
        <v>434</v>
      </c>
      <c r="C10" s="196" t="s">
        <v>19</v>
      </c>
      <c r="D10" s="196" t="s">
        <v>468</v>
      </c>
      <c r="E10" s="2" t="s">
        <v>466</v>
      </c>
      <c r="F10" s="2" t="s">
        <v>467</v>
      </c>
      <c r="G10" s="200" t="s">
        <v>470</v>
      </c>
    </row>
    <row r="11" spans="1:7">
      <c r="A11" s="196" t="s">
        <v>145</v>
      </c>
      <c r="B11" s="196" t="s">
        <v>432</v>
      </c>
      <c r="C11" s="243" t="s">
        <v>430</v>
      </c>
      <c r="D11" s="196" t="s">
        <v>474</v>
      </c>
      <c r="E11" s="197" t="s">
        <v>423</v>
      </c>
      <c r="F11" s="2" t="s">
        <v>421</v>
      </c>
      <c r="G11" s="2"/>
    </row>
    <row r="12" spans="1:7">
      <c r="A12" s="196" t="s">
        <v>145</v>
      </c>
      <c r="B12" s="196" t="s">
        <v>432</v>
      </c>
      <c r="C12" s="230" t="s">
        <v>208</v>
      </c>
      <c r="D12" s="2" t="s">
        <v>460</v>
      </c>
      <c r="E12" s="2" t="s">
        <v>417</v>
      </c>
      <c r="F12" s="2" t="s">
        <v>416</v>
      </c>
      <c r="G12" s="2"/>
    </row>
    <row r="13" spans="1:7">
      <c r="A13" s="196" t="s">
        <v>158</v>
      </c>
      <c r="B13" s="196" t="s">
        <v>432</v>
      </c>
      <c r="C13" s="243" t="s">
        <v>414</v>
      </c>
      <c r="D13" s="196" t="s">
        <v>471</v>
      </c>
      <c r="E13" s="198" t="s">
        <v>422</v>
      </c>
      <c r="F13" s="2" t="s">
        <v>415</v>
      </c>
      <c r="G13" s="200" t="s">
        <v>440</v>
      </c>
    </row>
    <row r="14" spans="1:7">
      <c r="A14" s="196" t="s">
        <v>158</v>
      </c>
      <c r="B14" s="196" t="s">
        <v>432</v>
      </c>
      <c r="C14" s="243" t="s">
        <v>414</v>
      </c>
      <c r="D14" s="196" t="s">
        <v>471</v>
      </c>
      <c r="E14" s="2" t="s">
        <v>448</v>
      </c>
      <c r="F14" s="2" t="s">
        <v>449</v>
      </c>
      <c r="G14" s="200" t="s">
        <v>447</v>
      </c>
    </row>
    <row r="15" spans="1:7">
      <c r="A15" s="196" t="s">
        <v>19</v>
      </c>
      <c r="B15" s="196" t="s">
        <v>432</v>
      </c>
      <c r="C15" s="243" t="s">
        <v>429</v>
      </c>
      <c r="D15" s="196" t="s">
        <v>461</v>
      </c>
      <c r="E15" s="197" t="s">
        <v>427</v>
      </c>
      <c r="F15" s="2" t="s">
        <v>428</v>
      </c>
      <c r="G15" s="200" t="s">
        <v>441</v>
      </c>
    </row>
    <row r="16" spans="1:7">
      <c r="A16" s="196" t="s">
        <v>19</v>
      </c>
      <c r="B16" s="196" t="s">
        <v>432</v>
      </c>
      <c r="C16" s="230" t="s">
        <v>426</v>
      </c>
      <c r="D16" s="2" t="s">
        <v>471</v>
      </c>
      <c r="E16" s="2" t="s">
        <v>425</v>
      </c>
      <c r="F16" s="2" t="s">
        <v>424</v>
      </c>
      <c r="G16" s="2"/>
    </row>
    <row r="17" spans="1:7">
      <c r="A17" s="196" t="s">
        <v>19</v>
      </c>
      <c r="B17" s="196" t="s">
        <v>432</v>
      </c>
      <c r="C17" s="243" t="s">
        <v>429</v>
      </c>
      <c r="D17" s="196" t="s">
        <v>471</v>
      </c>
      <c r="E17" s="2" t="s">
        <v>475</v>
      </c>
      <c r="F17" s="2" t="s">
        <v>476</v>
      </c>
      <c r="G17" s="2"/>
    </row>
  </sheetData>
  <autoFilter ref="A2:G2" xr:uid="{516ACC1C-191A-46A7-B3FD-B37C8D0344EC}">
    <sortState xmlns:xlrd2="http://schemas.microsoft.com/office/spreadsheetml/2017/richdata2" ref="A3:G17">
      <sortCondition ref="B2"/>
    </sortState>
  </autoFilter>
  <hyperlinks>
    <hyperlink ref="E13" r:id="rId1" display="mailto:thiago.goncalves@asper.tec.br" xr:uid="{BA427959-7766-40B9-A0A9-07B3338A727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2588-BA8D-4299-B5D6-31D01C93EE10}">
  <dimension ref="A1:AW84"/>
  <sheetViews>
    <sheetView zoomScaleNormal="100" workbookViewId="0">
      <selection activeCell="X3" sqref="X3:Z3"/>
    </sheetView>
  </sheetViews>
  <sheetFormatPr baseColWidth="10" defaultRowHeight="14.25"/>
  <cols>
    <col min="2" max="3" width="3.25" customWidth="1"/>
    <col min="4" max="8" width="3.75" customWidth="1"/>
    <col min="9" max="9" width="6" style="9" customWidth="1"/>
    <col min="10" max="10" width="32.75" customWidth="1"/>
    <col min="11" max="11" width="11" customWidth="1"/>
    <col min="12" max="12" width="11.75" customWidth="1"/>
    <col min="13" max="13" width="7.625" customWidth="1"/>
    <col min="14" max="14" width="9.875" customWidth="1"/>
    <col min="15" max="15" width="4.125" customWidth="1"/>
    <col min="16" max="16" width="3.75" bestFit="1" customWidth="1"/>
    <col min="17" max="17" width="4" bestFit="1" customWidth="1"/>
    <col min="18" max="23" width="4" customWidth="1"/>
    <col min="24" max="29" width="3.75" bestFit="1" customWidth="1"/>
    <col min="30" max="32" width="3.75" customWidth="1"/>
    <col min="33" max="35" width="3.75" bestFit="1" customWidth="1"/>
    <col min="41" max="41" width="28.125" bestFit="1" customWidth="1"/>
    <col min="43" max="43" width="4.25" customWidth="1"/>
    <col min="44" max="49" width="3.75" bestFit="1" customWidth="1"/>
  </cols>
  <sheetData>
    <row r="1" spans="1:49" ht="15" thickBot="1">
      <c r="A1" s="30"/>
      <c r="B1" s="30"/>
      <c r="C1" s="30"/>
      <c r="D1" s="30"/>
      <c r="E1" s="30"/>
      <c r="F1" s="30"/>
      <c r="G1" s="30"/>
      <c r="H1" s="67"/>
      <c r="I1" s="67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49" ht="15.75" thickBot="1">
      <c r="A2" s="30"/>
      <c r="B2" s="30"/>
      <c r="C2" s="30"/>
      <c r="D2" s="30"/>
      <c r="E2" s="30"/>
      <c r="F2" s="30"/>
      <c r="G2" s="30"/>
      <c r="H2" s="67"/>
      <c r="I2" s="67"/>
      <c r="J2" s="30"/>
      <c r="K2" s="30"/>
      <c r="L2" s="30"/>
      <c r="M2" s="30"/>
      <c r="N2" s="30"/>
      <c r="O2" s="89" t="s">
        <v>143</v>
      </c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1"/>
      <c r="AJ2" s="30"/>
      <c r="AK2" s="30"/>
      <c r="AL2" s="30"/>
      <c r="AM2" s="67"/>
      <c r="AN2" s="67"/>
      <c r="AO2" s="30"/>
      <c r="AP2" s="30"/>
    </row>
    <row r="3" spans="1:49" ht="36.75" customHeight="1" thickBot="1">
      <c r="A3" s="30"/>
      <c r="B3" s="30"/>
      <c r="C3" s="30"/>
      <c r="D3" s="30"/>
      <c r="E3" s="30"/>
      <c r="F3" s="30"/>
      <c r="G3" s="30"/>
      <c r="H3" s="139"/>
      <c r="I3" s="264" t="s">
        <v>148</v>
      </c>
      <c r="J3" s="265"/>
      <c r="K3" s="265"/>
      <c r="L3" s="265"/>
      <c r="M3" s="265"/>
      <c r="N3" s="266"/>
      <c r="O3" s="269">
        <v>46387</v>
      </c>
      <c r="P3" s="270"/>
      <c r="Q3" s="271"/>
      <c r="R3" s="142"/>
      <c r="S3" s="140">
        <v>46388</v>
      </c>
      <c r="T3" s="141"/>
      <c r="U3" s="142"/>
      <c r="V3" s="140">
        <v>46447</v>
      </c>
      <c r="W3" s="141"/>
      <c r="X3" s="270">
        <v>46599</v>
      </c>
      <c r="Y3" s="270"/>
      <c r="Z3" s="271"/>
      <c r="AA3" s="270">
        <v>46608</v>
      </c>
      <c r="AB3" s="270"/>
      <c r="AC3" s="271"/>
      <c r="AD3" s="269">
        <v>46659</v>
      </c>
      <c r="AE3" s="270"/>
      <c r="AF3" s="271"/>
      <c r="AG3" s="267" t="s">
        <v>112</v>
      </c>
      <c r="AH3" s="267"/>
      <c r="AI3" s="268"/>
      <c r="AJ3" s="30"/>
      <c r="AK3" s="30"/>
      <c r="AL3" s="30"/>
      <c r="AM3" s="242"/>
      <c r="AN3" s="264" t="s">
        <v>148</v>
      </c>
      <c r="AO3" s="265"/>
      <c r="AP3" s="265"/>
      <c r="AQ3" s="259" t="s">
        <v>143</v>
      </c>
      <c r="AR3" s="260"/>
      <c r="AS3" s="260"/>
      <c r="AT3" s="260"/>
      <c r="AU3" s="260"/>
      <c r="AV3" s="260"/>
      <c r="AW3" s="261"/>
    </row>
    <row r="4" spans="1:49" ht="90.75" thickBot="1">
      <c r="A4" s="30"/>
      <c r="B4" s="30"/>
      <c r="C4" s="30"/>
      <c r="D4" s="30"/>
      <c r="E4" s="30"/>
      <c r="F4" s="30"/>
      <c r="G4" s="30"/>
      <c r="H4" s="17" t="s">
        <v>0</v>
      </c>
      <c r="I4" s="17" t="s">
        <v>157</v>
      </c>
      <c r="J4" s="18" t="s">
        <v>104</v>
      </c>
      <c r="K4" s="20" t="s">
        <v>144</v>
      </c>
      <c r="L4" s="118" t="s">
        <v>149</v>
      </c>
      <c r="M4" s="119" t="s">
        <v>154</v>
      </c>
      <c r="N4" s="120" t="s">
        <v>150</v>
      </c>
      <c r="O4" s="130" t="s">
        <v>151</v>
      </c>
      <c r="P4" s="122" t="s">
        <v>155</v>
      </c>
      <c r="Q4" s="123" t="s">
        <v>152</v>
      </c>
      <c r="R4" s="130" t="s">
        <v>151</v>
      </c>
      <c r="S4" s="122" t="s">
        <v>155</v>
      </c>
      <c r="T4" s="123" t="s">
        <v>152</v>
      </c>
      <c r="U4" s="130" t="s">
        <v>151</v>
      </c>
      <c r="V4" s="122" t="s">
        <v>155</v>
      </c>
      <c r="W4" s="123" t="s">
        <v>152</v>
      </c>
      <c r="X4" s="121" t="s">
        <v>151</v>
      </c>
      <c r="Y4" s="122" t="s">
        <v>155</v>
      </c>
      <c r="Z4" s="123" t="s">
        <v>152</v>
      </c>
      <c r="AA4" s="121" t="s">
        <v>151</v>
      </c>
      <c r="AB4" s="122" t="s">
        <v>155</v>
      </c>
      <c r="AC4" s="123" t="s">
        <v>152</v>
      </c>
      <c r="AD4" s="133" t="s">
        <v>151</v>
      </c>
      <c r="AE4" s="94" t="s">
        <v>155</v>
      </c>
      <c r="AF4" s="101" t="s">
        <v>152</v>
      </c>
      <c r="AG4" s="102" t="s">
        <v>151</v>
      </c>
      <c r="AH4" s="94" t="s">
        <v>155</v>
      </c>
      <c r="AI4" s="95" t="s">
        <v>152</v>
      </c>
      <c r="AJ4" s="30"/>
      <c r="AK4" s="30"/>
      <c r="AL4" s="30"/>
      <c r="AM4" s="17" t="s">
        <v>0</v>
      </c>
      <c r="AN4" s="17" t="s">
        <v>157</v>
      </c>
      <c r="AO4" s="18" t="s">
        <v>104</v>
      </c>
      <c r="AP4" s="20" t="s">
        <v>144</v>
      </c>
      <c r="AQ4" s="236">
        <v>46387</v>
      </c>
      <c r="AR4" s="237">
        <v>46388</v>
      </c>
      <c r="AS4" s="237">
        <v>46447</v>
      </c>
      <c r="AT4" s="238">
        <v>46599</v>
      </c>
      <c r="AU4" s="238">
        <v>46608</v>
      </c>
      <c r="AV4" s="238">
        <v>46659</v>
      </c>
      <c r="AW4" s="239" t="s">
        <v>112</v>
      </c>
    </row>
    <row r="5" spans="1:49" ht="15">
      <c r="A5" s="30"/>
      <c r="B5" s="30"/>
      <c r="C5" s="30"/>
      <c r="D5" s="30"/>
      <c r="E5" s="30"/>
      <c r="F5" s="30"/>
      <c r="G5" s="30"/>
      <c r="H5" s="134">
        <v>1</v>
      </c>
      <c r="I5" s="117">
        <v>1</v>
      </c>
      <c r="J5" s="143" t="s">
        <v>4</v>
      </c>
      <c r="K5" s="103" t="s">
        <v>145</v>
      </c>
      <c r="L5" s="104" t="str">
        <f>'03-VolumetriaCredActualizada'!G7</f>
        <v>0.0029 GBPS</v>
      </c>
      <c r="M5" s="86">
        <f>'03-VolumetriaCredActualizada'!K7</f>
        <v>11</v>
      </c>
      <c r="N5" s="87">
        <f>'03-VolumetriaCredActualizada'!O7</f>
        <v>120</v>
      </c>
      <c r="O5" s="125" t="s">
        <v>91</v>
      </c>
      <c r="P5" s="115" t="s">
        <v>91</v>
      </c>
      <c r="Q5" s="116" t="s">
        <v>91</v>
      </c>
      <c r="R5" s="127"/>
      <c r="S5" s="68"/>
      <c r="T5" s="73"/>
      <c r="U5" s="127"/>
      <c r="V5" s="68"/>
      <c r="W5" s="73"/>
      <c r="X5" s="114"/>
      <c r="Y5" s="92"/>
      <c r="Z5" s="93"/>
      <c r="AA5" s="114"/>
      <c r="AB5" s="92"/>
      <c r="AC5" s="93"/>
      <c r="AD5" s="132"/>
      <c r="AE5" s="74"/>
      <c r="AF5" s="75"/>
      <c r="AG5" s="100"/>
      <c r="AH5" s="74"/>
      <c r="AI5" s="75"/>
      <c r="AJ5" s="30"/>
      <c r="AK5" s="30"/>
      <c r="AL5" s="30"/>
      <c r="AM5" s="134">
        <v>1</v>
      </c>
      <c r="AN5" s="117">
        <v>1</v>
      </c>
      <c r="AO5" s="143" t="s">
        <v>4</v>
      </c>
      <c r="AP5" s="233" t="s">
        <v>145</v>
      </c>
      <c r="AQ5" s="125" t="s">
        <v>91</v>
      </c>
      <c r="AR5" s="92"/>
      <c r="AS5" s="92"/>
      <c r="AT5" s="92"/>
      <c r="AU5" s="92"/>
      <c r="AV5" s="92"/>
      <c r="AW5" s="93"/>
    </row>
    <row r="6" spans="1:49" ht="15">
      <c r="A6" s="30"/>
      <c r="B6" s="30"/>
      <c r="C6" s="30"/>
      <c r="D6" s="30"/>
      <c r="E6" s="30"/>
      <c r="F6" s="30"/>
      <c r="G6" s="30"/>
      <c r="H6" s="135">
        <v>13</v>
      </c>
      <c r="I6" s="69">
        <v>2</v>
      </c>
      <c r="J6" s="144" t="s">
        <v>21</v>
      </c>
      <c r="K6" s="98" t="s">
        <v>145</v>
      </c>
      <c r="L6" s="96">
        <f>'03-VolumetriaCredActualizada'!G9</f>
        <v>1.8699999999999999E-3</v>
      </c>
      <c r="M6" s="70">
        <f>'03-VolumetriaCredActualizada'!K9</f>
        <v>47</v>
      </c>
      <c r="N6" s="81">
        <f>'03-VolumetriaCredActualizada'!O9</f>
        <v>1250</v>
      </c>
      <c r="O6" s="127"/>
      <c r="P6" s="68"/>
      <c r="Q6" s="73"/>
      <c r="R6" s="76" t="s">
        <v>91</v>
      </c>
      <c r="S6" s="71" t="s">
        <v>91</v>
      </c>
      <c r="T6" s="72" t="s">
        <v>91</v>
      </c>
      <c r="U6" s="127"/>
      <c r="V6" s="68"/>
      <c r="W6" s="73"/>
      <c r="X6" s="77"/>
      <c r="Y6" s="68"/>
      <c r="Z6" s="73"/>
      <c r="AA6" s="77"/>
      <c r="AB6" s="68"/>
      <c r="AC6" s="73"/>
      <c r="AD6" s="127"/>
      <c r="AE6" s="68"/>
      <c r="AF6" s="73"/>
      <c r="AG6" s="77"/>
      <c r="AH6" s="68"/>
      <c r="AI6" s="73"/>
      <c r="AJ6" s="30"/>
      <c r="AK6" s="30"/>
      <c r="AL6" s="30"/>
      <c r="AM6" s="135">
        <v>13</v>
      </c>
      <c r="AN6" s="69">
        <v>2</v>
      </c>
      <c r="AO6" s="144" t="s">
        <v>21</v>
      </c>
      <c r="AP6" s="234" t="s">
        <v>145</v>
      </c>
      <c r="AQ6" s="127"/>
      <c r="AR6" s="71" t="s">
        <v>91</v>
      </c>
      <c r="AS6" s="68"/>
      <c r="AT6" s="68"/>
      <c r="AU6" s="68"/>
      <c r="AV6" s="68"/>
      <c r="AW6" s="73"/>
    </row>
    <row r="7" spans="1:49" ht="15">
      <c r="A7" s="30"/>
      <c r="B7" s="30"/>
      <c r="C7" s="30"/>
      <c r="D7" s="30"/>
      <c r="E7" s="30"/>
      <c r="F7" s="30"/>
      <c r="G7" s="30"/>
      <c r="H7" s="135">
        <v>12</v>
      </c>
      <c r="I7" s="69">
        <v>3</v>
      </c>
      <c r="J7" s="144" t="s">
        <v>20</v>
      </c>
      <c r="K7" s="98" t="s">
        <v>2</v>
      </c>
      <c r="L7" s="96">
        <f>'03-VolumetriaCredActualizada'!G4</f>
        <v>5.0000000000000001E-3</v>
      </c>
      <c r="M7" s="70">
        <f>'03-VolumetriaCredActualizada'!K4</f>
        <v>6</v>
      </c>
      <c r="N7" s="81">
        <f>'03-VolumetriaCredActualizada'!O4</f>
        <v>10.51421</v>
      </c>
      <c r="O7" s="127"/>
      <c r="P7" s="68"/>
      <c r="Q7" s="73"/>
      <c r="R7" s="127"/>
      <c r="S7" s="68"/>
      <c r="T7" s="73"/>
      <c r="U7" s="76" t="s">
        <v>91</v>
      </c>
      <c r="V7" s="71" t="s">
        <v>91</v>
      </c>
      <c r="W7" s="72" t="s">
        <v>91</v>
      </c>
      <c r="X7" s="77"/>
      <c r="Y7" s="68"/>
      <c r="Z7" s="73"/>
      <c r="AA7" s="77"/>
      <c r="AB7" s="68"/>
      <c r="AC7" s="73"/>
      <c r="AD7" s="127"/>
      <c r="AE7" s="68"/>
      <c r="AF7" s="73"/>
      <c r="AG7" s="77"/>
      <c r="AH7" s="68"/>
      <c r="AI7" s="73"/>
      <c r="AJ7" s="30"/>
      <c r="AK7" s="30"/>
      <c r="AL7" s="30"/>
      <c r="AM7" s="135">
        <v>12</v>
      </c>
      <c r="AN7" s="69">
        <v>3</v>
      </c>
      <c r="AO7" s="144" t="s">
        <v>20</v>
      </c>
      <c r="AP7" s="234" t="s">
        <v>2</v>
      </c>
      <c r="AQ7" s="127"/>
      <c r="AR7" s="68"/>
      <c r="AS7" s="71" t="s">
        <v>91</v>
      </c>
      <c r="AT7" s="68"/>
      <c r="AU7" s="68"/>
      <c r="AV7" s="68"/>
      <c r="AW7" s="73"/>
    </row>
    <row r="8" spans="1:49" ht="15">
      <c r="A8" s="30"/>
      <c r="B8" s="30"/>
      <c r="C8" s="30"/>
      <c r="D8" s="30"/>
      <c r="E8" s="30"/>
      <c r="F8" s="30"/>
      <c r="G8" s="30"/>
      <c r="H8" s="136">
        <v>16</v>
      </c>
      <c r="I8" s="138">
        <v>5</v>
      </c>
      <c r="J8" s="144" t="s">
        <v>106</v>
      </c>
      <c r="K8" s="273" t="s">
        <v>146</v>
      </c>
      <c r="L8" s="274">
        <f>'03-VolumetriaCredActualizada'!G10</f>
        <v>1.2E-2</v>
      </c>
      <c r="M8" s="275">
        <f>'03-VolumetriaCredActualizada'!K10</f>
        <v>107</v>
      </c>
      <c r="N8" s="276">
        <f>'03-VolumetriaCredActualizada'!O10</f>
        <v>20.07</v>
      </c>
      <c r="O8" s="127"/>
      <c r="P8" s="68"/>
      <c r="Q8" s="73"/>
      <c r="R8" s="127"/>
      <c r="S8" s="68"/>
      <c r="T8" s="73"/>
      <c r="U8" s="127"/>
      <c r="V8" s="68"/>
      <c r="W8" s="73"/>
      <c r="X8" s="279" t="s">
        <v>91</v>
      </c>
      <c r="Y8" s="263" t="s">
        <v>91</v>
      </c>
      <c r="Z8" s="272" t="s">
        <v>91</v>
      </c>
      <c r="AA8" s="77"/>
      <c r="AB8" s="68"/>
      <c r="AC8" s="73"/>
      <c r="AD8" s="127"/>
      <c r="AE8" s="68"/>
      <c r="AF8" s="73"/>
      <c r="AG8" s="77"/>
      <c r="AH8" s="68"/>
      <c r="AI8" s="73"/>
      <c r="AJ8" s="30"/>
      <c r="AK8" s="30"/>
      <c r="AL8" s="30"/>
      <c r="AM8" s="241">
        <v>16</v>
      </c>
      <c r="AN8" s="138">
        <v>4</v>
      </c>
      <c r="AO8" s="144" t="s">
        <v>106</v>
      </c>
      <c r="AP8" s="262" t="s">
        <v>146</v>
      </c>
      <c r="AQ8" s="127"/>
      <c r="AR8" s="68"/>
      <c r="AS8" s="68"/>
      <c r="AT8" s="263" t="s">
        <v>91</v>
      </c>
      <c r="AU8" s="68"/>
      <c r="AV8" s="68"/>
      <c r="AW8" s="73"/>
    </row>
    <row r="9" spans="1:49" ht="15">
      <c r="A9" s="30"/>
      <c r="B9" s="30"/>
      <c r="C9" s="30"/>
      <c r="D9" s="30"/>
      <c r="E9" s="30"/>
      <c r="F9" s="30"/>
      <c r="G9" s="30"/>
      <c r="H9" s="136">
        <v>16</v>
      </c>
      <c r="I9" s="138">
        <v>5</v>
      </c>
      <c r="J9" s="144" t="s">
        <v>107</v>
      </c>
      <c r="K9" s="273"/>
      <c r="L9" s="274"/>
      <c r="M9" s="275"/>
      <c r="N9" s="277"/>
      <c r="O9" s="127"/>
      <c r="P9" s="68"/>
      <c r="Q9" s="73"/>
      <c r="R9" s="127"/>
      <c r="S9" s="68"/>
      <c r="T9" s="73"/>
      <c r="U9" s="127"/>
      <c r="V9" s="68"/>
      <c r="W9" s="73"/>
      <c r="X9" s="279"/>
      <c r="Y9" s="263"/>
      <c r="Z9" s="272"/>
      <c r="AA9" s="77"/>
      <c r="AB9" s="68"/>
      <c r="AC9" s="73"/>
      <c r="AD9" s="127"/>
      <c r="AE9" s="68"/>
      <c r="AF9" s="73"/>
      <c r="AG9" s="77"/>
      <c r="AH9" s="68"/>
      <c r="AI9" s="73"/>
      <c r="AJ9" s="30"/>
      <c r="AK9" s="30"/>
      <c r="AL9" s="30"/>
      <c r="AM9" s="241">
        <v>16</v>
      </c>
      <c r="AN9" s="138">
        <v>4</v>
      </c>
      <c r="AO9" s="144" t="s">
        <v>107</v>
      </c>
      <c r="AP9" s="262"/>
      <c r="AQ9" s="127"/>
      <c r="AR9" s="68"/>
      <c r="AS9" s="68"/>
      <c r="AT9" s="263"/>
      <c r="AU9" s="68"/>
      <c r="AV9" s="68"/>
      <c r="AW9" s="73"/>
    </row>
    <row r="10" spans="1:49" ht="15">
      <c r="A10" s="30"/>
      <c r="B10" s="30"/>
      <c r="C10" s="30"/>
      <c r="D10" s="30"/>
      <c r="E10" s="30"/>
      <c r="F10" s="30"/>
      <c r="G10" s="30"/>
      <c r="H10" s="136">
        <v>16</v>
      </c>
      <c r="I10" s="138">
        <v>5</v>
      </c>
      <c r="J10" s="144" t="s">
        <v>108</v>
      </c>
      <c r="K10" s="273"/>
      <c r="L10" s="274"/>
      <c r="M10" s="275"/>
      <c r="N10" s="277"/>
      <c r="O10" s="127"/>
      <c r="P10" s="68"/>
      <c r="Q10" s="73"/>
      <c r="R10" s="127"/>
      <c r="S10" s="68"/>
      <c r="T10" s="73"/>
      <c r="U10" s="127"/>
      <c r="V10" s="68"/>
      <c r="W10" s="73"/>
      <c r="X10" s="279"/>
      <c r="Y10" s="263"/>
      <c r="Z10" s="272"/>
      <c r="AA10" s="77"/>
      <c r="AB10" s="68"/>
      <c r="AC10" s="73"/>
      <c r="AD10" s="127"/>
      <c r="AE10" s="68"/>
      <c r="AF10" s="73"/>
      <c r="AG10" s="77"/>
      <c r="AH10" s="68"/>
      <c r="AI10" s="73"/>
      <c r="AJ10" s="30"/>
      <c r="AK10" s="30"/>
      <c r="AL10" s="30"/>
      <c r="AM10" s="241">
        <v>16</v>
      </c>
      <c r="AN10" s="138">
        <v>4</v>
      </c>
      <c r="AO10" s="144" t="s">
        <v>108</v>
      </c>
      <c r="AP10" s="262"/>
      <c r="AQ10" s="127"/>
      <c r="AR10" s="68"/>
      <c r="AS10" s="68"/>
      <c r="AT10" s="263"/>
      <c r="AU10" s="68"/>
      <c r="AV10" s="68"/>
      <c r="AW10" s="73"/>
    </row>
    <row r="11" spans="1:49" ht="15">
      <c r="A11" s="30"/>
      <c r="B11" s="30"/>
      <c r="C11" s="30"/>
      <c r="D11" s="30"/>
      <c r="E11" s="30"/>
      <c r="F11" s="30"/>
      <c r="G11" s="30"/>
      <c r="H11" s="136">
        <v>16</v>
      </c>
      <c r="I11" s="138">
        <v>5</v>
      </c>
      <c r="J11" s="144" t="s">
        <v>109</v>
      </c>
      <c r="K11" s="273"/>
      <c r="L11" s="274"/>
      <c r="M11" s="275"/>
      <c r="N11" s="277"/>
      <c r="O11" s="127"/>
      <c r="P11" s="68"/>
      <c r="Q11" s="73"/>
      <c r="R11" s="127"/>
      <c r="S11" s="68"/>
      <c r="T11" s="73"/>
      <c r="U11" s="127"/>
      <c r="V11" s="68"/>
      <c r="W11" s="73"/>
      <c r="X11" s="279"/>
      <c r="Y11" s="263"/>
      <c r="Z11" s="272"/>
      <c r="AA11" s="77"/>
      <c r="AB11" s="68"/>
      <c r="AC11" s="73"/>
      <c r="AD11" s="127"/>
      <c r="AE11" s="68"/>
      <c r="AF11" s="73"/>
      <c r="AG11" s="77"/>
      <c r="AH11" s="68"/>
      <c r="AI11" s="73"/>
      <c r="AJ11" s="30"/>
      <c r="AK11" s="30"/>
      <c r="AL11" s="30"/>
      <c r="AM11" s="241">
        <v>16</v>
      </c>
      <c r="AN11" s="138">
        <v>4</v>
      </c>
      <c r="AO11" s="144" t="s">
        <v>109</v>
      </c>
      <c r="AP11" s="262"/>
      <c r="AQ11" s="127"/>
      <c r="AR11" s="68"/>
      <c r="AS11" s="68"/>
      <c r="AT11" s="263"/>
      <c r="AU11" s="68"/>
      <c r="AV11" s="68"/>
      <c r="AW11" s="73"/>
    </row>
    <row r="12" spans="1:49" ht="15">
      <c r="A12" s="30"/>
      <c r="B12" s="30"/>
      <c r="C12" s="30"/>
      <c r="D12" s="30"/>
      <c r="E12" s="30"/>
      <c r="F12" s="30"/>
      <c r="G12" s="30"/>
      <c r="H12" s="136">
        <v>16</v>
      </c>
      <c r="I12" s="138">
        <v>5</v>
      </c>
      <c r="J12" s="144" t="s">
        <v>110</v>
      </c>
      <c r="K12" s="273"/>
      <c r="L12" s="274"/>
      <c r="M12" s="275"/>
      <c r="N12" s="278"/>
      <c r="O12" s="127"/>
      <c r="P12" s="68"/>
      <c r="Q12" s="73"/>
      <c r="R12" s="127"/>
      <c r="S12" s="68"/>
      <c r="T12" s="73"/>
      <c r="U12" s="127"/>
      <c r="V12" s="68"/>
      <c r="W12" s="73"/>
      <c r="X12" s="279"/>
      <c r="Y12" s="263"/>
      <c r="Z12" s="272"/>
      <c r="AA12" s="77"/>
      <c r="AB12" s="68"/>
      <c r="AC12" s="73"/>
      <c r="AD12" s="127"/>
      <c r="AE12" s="68"/>
      <c r="AF12" s="73"/>
      <c r="AG12" s="77"/>
      <c r="AH12" s="68"/>
      <c r="AI12" s="73"/>
      <c r="AJ12" s="30"/>
      <c r="AK12" s="30"/>
      <c r="AL12" s="30"/>
      <c r="AM12" s="241">
        <v>16</v>
      </c>
      <c r="AN12" s="138">
        <v>4</v>
      </c>
      <c r="AO12" s="144" t="s">
        <v>110</v>
      </c>
      <c r="AP12" s="262"/>
      <c r="AQ12" s="127"/>
      <c r="AR12" s="68"/>
      <c r="AS12" s="68"/>
      <c r="AT12" s="263"/>
      <c r="AU12" s="68"/>
      <c r="AV12" s="68"/>
      <c r="AW12" s="73"/>
    </row>
    <row r="13" spans="1:49" ht="15">
      <c r="A13" s="30"/>
      <c r="B13" s="30"/>
      <c r="C13" s="30"/>
      <c r="D13" s="30"/>
      <c r="E13" s="30"/>
      <c r="F13" s="30"/>
      <c r="G13" s="30"/>
      <c r="H13" s="135">
        <v>5</v>
      </c>
      <c r="I13" s="69">
        <v>4</v>
      </c>
      <c r="J13" s="246" t="s">
        <v>12</v>
      </c>
      <c r="K13" s="98" t="s">
        <v>113</v>
      </c>
      <c r="L13" s="96">
        <f>'03-VolumetriaCredActualizada'!G14</f>
        <v>6.6360000000000002E-2</v>
      </c>
      <c r="M13" s="70">
        <f>'03-VolumetriaCredActualizada'!K14</f>
        <v>78</v>
      </c>
      <c r="N13" s="81">
        <f>'03-VolumetriaCredActualizada'!O14</f>
        <v>391.96</v>
      </c>
      <c r="O13" s="127"/>
      <c r="P13" s="68"/>
      <c r="Q13" s="73"/>
      <c r="R13" s="127"/>
      <c r="S13" s="68"/>
      <c r="T13" s="73"/>
      <c r="U13" s="127"/>
      <c r="V13" s="68"/>
      <c r="W13" s="73"/>
      <c r="X13" s="76" t="s">
        <v>91</v>
      </c>
      <c r="Y13" s="71" t="s">
        <v>91</v>
      </c>
      <c r="Z13" s="72" t="s">
        <v>91</v>
      </c>
      <c r="AA13" s="77"/>
      <c r="AB13" s="68"/>
      <c r="AC13" s="73"/>
      <c r="AD13" s="127"/>
      <c r="AE13" s="68"/>
      <c r="AF13" s="73"/>
      <c r="AG13" s="77"/>
      <c r="AH13" s="68"/>
      <c r="AI13" s="73"/>
      <c r="AJ13" s="30"/>
      <c r="AK13" s="30"/>
      <c r="AL13" s="30"/>
      <c r="AM13" s="135">
        <v>5</v>
      </c>
      <c r="AN13" s="69">
        <v>5</v>
      </c>
      <c r="AO13" s="144" t="s">
        <v>12</v>
      </c>
      <c r="AP13" s="234" t="s">
        <v>113</v>
      </c>
      <c r="AQ13" s="127"/>
      <c r="AR13" s="68"/>
      <c r="AS13" s="68"/>
      <c r="AT13" s="71" t="s">
        <v>91</v>
      </c>
      <c r="AU13" s="68"/>
      <c r="AV13" s="68"/>
      <c r="AW13" s="73"/>
    </row>
    <row r="14" spans="1:49" ht="15">
      <c r="A14" s="30"/>
      <c r="B14" s="30"/>
      <c r="C14" s="30"/>
      <c r="D14" s="30"/>
      <c r="E14" s="30"/>
      <c r="F14" s="30"/>
      <c r="G14" s="30"/>
      <c r="H14" s="135">
        <v>4</v>
      </c>
      <c r="I14" s="69">
        <v>6</v>
      </c>
      <c r="J14" s="144" t="s">
        <v>138</v>
      </c>
      <c r="K14" s="98" t="s">
        <v>113</v>
      </c>
      <c r="L14" s="96">
        <f>'03-VolumetriaCredActualizada'!G13</f>
        <v>1.3010000000000001E-2</v>
      </c>
      <c r="M14" s="70">
        <f>'03-VolumetriaCredActualizada'!K13</f>
        <v>16</v>
      </c>
      <c r="N14" s="81">
        <f>'03-VolumetriaCredActualizada'!O13</f>
        <v>6.0999999999999999E-2</v>
      </c>
      <c r="O14" s="127"/>
      <c r="P14" s="68"/>
      <c r="Q14" s="73"/>
      <c r="R14" s="127"/>
      <c r="S14" s="68"/>
      <c r="T14" s="73"/>
      <c r="U14" s="127"/>
      <c r="V14" s="68"/>
      <c r="W14" s="73"/>
      <c r="X14" s="77"/>
      <c r="Y14" s="68"/>
      <c r="Z14" s="73"/>
      <c r="AA14" s="76" t="s">
        <v>91</v>
      </c>
      <c r="AB14" s="71" t="s">
        <v>91</v>
      </c>
      <c r="AC14" s="72" t="s">
        <v>91</v>
      </c>
      <c r="AD14" s="127"/>
      <c r="AE14" s="68"/>
      <c r="AF14" s="73"/>
      <c r="AG14" s="77"/>
      <c r="AH14" s="68"/>
      <c r="AI14" s="73"/>
      <c r="AJ14" s="30"/>
      <c r="AK14" s="30"/>
      <c r="AL14" s="30"/>
      <c r="AM14" s="135">
        <v>4</v>
      </c>
      <c r="AN14" s="69">
        <v>6</v>
      </c>
      <c r="AO14" s="144" t="s">
        <v>138</v>
      </c>
      <c r="AP14" s="234" t="s">
        <v>113</v>
      </c>
      <c r="AQ14" s="127"/>
      <c r="AR14" s="68"/>
      <c r="AS14" s="68"/>
      <c r="AT14" s="68"/>
      <c r="AU14" s="71" t="s">
        <v>91</v>
      </c>
      <c r="AV14" s="68"/>
      <c r="AW14" s="73"/>
    </row>
    <row r="15" spans="1:49" ht="15">
      <c r="A15" s="30"/>
      <c r="B15" s="30"/>
      <c r="C15" s="30"/>
      <c r="D15" s="30"/>
      <c r="E15" s="30"/>
      <c r="F15" s="30"/>
      <c r="G15" s="30"/>
      <c r="H15" s="135">
        <v>9</v>
      </c>
      <c r="I15" s="69">
        <v>7</v>
      </c>
      <c r="J15" s="144" t="s">
        <v>156</v>
      </c>
      <c r="K15" s="98" t="s">
        <v>2</v>
      </c>
      <c r="L15" s="96">
        <v>1.9591243000000001E-2</v>
      </c>
      <c r="M15" s="70">
        <v>11</v>
      </c>
      <c r="N15" s="81">
        <v>1970.9090000000001</v>
      </c>
      <c r="O15" s="127"/>
      <c r="P15" s="68"/>
      <c r="Q15" s="73"/>
      <c r="R15" s="127"/>
      <c r="S15" s="68"/>
      <c r="T15" s="73"/>
      <c r="U15" s="127"/>
      <c r="V15" s="68"/>
      <c r="W15" s="73"/>
      <c r="X15" s="77"/>
      <c r="Y15" s="68"/>
      <c r="Z15" s="73"/>
      <c r="AA15" s="76" t="s">
        <v>91</v>
      </c>
      <c r="AB15" s="71" t="s">
        <v>91</v>
      </c>
      <c r="AC15" s="72" t="s">
        <v>91</v>
      </c>
      <c r="AD15" s="127"/>
      <c r="AE15" s="68"/>
      <c r="AF15" s="73"/>
      <c r="AG15" s="77"/>
      <c r="AH15" s="68"/>
      <c r="AI15" s="73"/>
      <c r="AJ15" s="30"/>
      <c r="AK15" s="30"/>
      <c r="AL15" s="30"/>
      <c r="AM15" s="135">
        <v>9</v>
      </c>
      <c r="AN15" s="69">
        <v>7</v>
      </c>
      <c r="AO15" s="144" t="s">
        <v>156</v>
      </c>
      <c r="AP15" s="234" t="s">
        <v>2</v>
      </c>
      <c r="AQ15" s="127"/>
      <c r="AR15" s="68"/>
      <c r="AS15" s="68"/>
      <c r="AT15" s="68"/>
      <c r="AU15" s="71" t="s">
        <v>91</v>
      </c>
      <c r="AV15" s="68"/>
      <c r="AW15" s="73"/>
    </row>
    <row r="16" spans="1:49" ht="15">
      <c r="A16" s="30"/>
      <c r="B16" s="30"/>
      <c r="C16" s="30"/>
      <c r="D16" s="30"/>
      <c r="E16" s="30"/>
      <c r="F16" s="30"/>
      <c r="G16" s="30"/>
      <c r="H16" s="135">
        <v>11</v>
      </c>
      <c r="I16" s="69">
        <v>8</v>
      </c>
      <c r="J16" s="144" t="s">
        <v>111</v>
      </c>
      <c r="K16" s="98" t="s">
        <v>2</v>
      </c>
      <c r="L16" s="96">
        <f>'03-VolumetriaCredActualizada'!G11</f>
        <v>7.0000000000000007E-2</v>
      </c>
      <c r="M16" s="70">
        <f>'03-VolumetriaCredActualizada'!K11</f>
        <v>1</v>
      </c>
      <c r="N16" s="81">
        <f>'03-VolumetriaCredActualizada'!O11</f>
        <v>2.25</v>
      </c>
      <c r="O16" s="127"/>
      <c r="P16" s="68"/>
      <c r="Q16" s="73"/>
      <c r="R16" s="127"/>
      <c r="S16" s="68"/>
      <c r="T16" s="73"/>
      <c r="U16" s="127"/>
      <c r="V16" s="68"/>
      <c r="W16" s="73"/>
      <c r="X16" s="77"/>
      <c r="Y16" s="68"/>
      <c r="Z16" s="73"/>
      <c r="AA16" s="77"/>
      <c r="AB16" s="68"/>
      <c r="AC16" s="73"/>
      <c r="AD16" s="126" t="s">
        <v>91</v>
      </c>
      <c r="AE16" s="71" t="s">
        <v>91</v>
      </c>
      <c r="AF16" s="72" t="s">
        <v>91</v>
      </c>
      <c r="AG16" s="77"/>
      <c r="AH16" s="68"/>
      <c r="AI16" s="73"/>
      <c r="AJ16" s="30"/>
      <c r="AK16" s="30"/>
      <c r="AL16" s="30"/>
      <c r="AM16" s="135">
        <v>11</v>
      </c>
      <c r="AN16" s="69">
        <v>8</v>
      </c>
      <c r="AO16" s="144" t="s">
        <v>111</v>
      </c>
      <c r="AP16" s="234" t="s">
        <v>2</v>
      </c>
      <c r="AQ16" s="127"/>
      <c r="AR16" s="68"/>
      <c r="AS16" s="68"/>
      <c r="AT16" s="68"/>
      <c r="AU16" s="68"/>
      <c r="AV16" s="71" t="s">
        <v>91</v>
      </c>
      <c r="AW16" s="73"/>
    </row>
    <row r="17" spans="1:49" ht="15">
      <c r="A17" s="30"/>
      <c r="B17" s="30"/>
      <c r="C17" s="30"/>
      <c r="D17" s="30"/>
      <c r="E17" s="30"/>
      <c r="F17" s="30"/>
      <c r="G17" s="30"/>
      <c r="H17" s="135">
        <v>10</v>
      </c>
      <c r="I17" s="69">
        <v>9</v>
      </c>
      <c r="J17" s="144" t="s">
        <v>18</v>
      </c>
      <c r="K17" s="98" t="s">
        <v>19</v>
      </c>
      <c r="L17" s="96">
        <f>'03-VolumetriaCredActualizada'!G12</f>
        <v>0.06</v>
      </c>
      <c r="M17" s="70">
        <f>'03-VolumetriaCredActualizada'!K12</f>
        <v>6</v>
      </c>
      <c r="N17" s="81">
        <f>'03-VolumetriaCredActualizada'!O12</f>
        <v>1.25</v>
      </c>
      <c r="O17" s="127"/>
      <c r="P17" s="68"/>
      <c r="Q17" s="73"/>
      <c r="R17" s="127"/>
      <c r="S17" s="68"/>
      <c r="T17" s="73"/>
      <c r="U17" s="127"/>
      <c r="V17" s="68"/>
      <c r="W17" s="73"/>
      <c r="X17" s="77"/>
      <c r="Y17" s="68"/>
      <c r="Z17" s="73"/>
      <c r="AA17" s="77"/>
      <c r="AB17" s="68"/>
      <c r="AC17" s="73"/>
      <c r="AD17" s="126" t="s">
        <v>91</v>
      </c>
      <c r="AE17" s="71" t="s">
        <v>91</v>
      </c>
      <c r="AF17" s="72" t="s">
        <v>91</v>
      </c>
      <c r="AG17" s="77"/>
      <c r="AH17" s="68"/>
      <c r="AI17" s="73"/>
      <c r="AJ17" s="30"/>
      <c r="AK17" s="30"/>
      <c r="AL17" s="30"/>
      <c r="AM17" s="135">
        <v>10</v>
      </c>
      <c r="AN17" s="69">
        <v>9</v>
      </c>
      <c r="AO17" s="144" t="s">
        <v>18</v>
      </c>
      <c r="AP17" s="234" t="s">
        <v>19</v>
      </c>
      <c r="AQ17" s="127"/>
      <c r="AR17" s="68"/>
      <c r="AS17" s="68"/>
      <c r="AT17" s="68"/>
      <c r="AU17" s="68"/>
      <c r="AV17" s="71" t="s">
        <v>91</v>
      </c>
      <c r="AW17" s="73"/>
    </row>
    <row r="18" spans="1:49" ht="15">
      <c r="A18" s="30"/>
      <c r="B18" s="30"/>
      <c r="C18" s="30"/>
      <c r="D18" s="30"/>
      <c r="E18" s="30"/>
      <c r="F18" s="30"/>
      <c r="G18" s="30"/>
      <c r="H18" s="135">
        <v>15</v>
      </c>
      <c r="I18" s="69">
        <v>10</v>
      </c>
      <c r="J18" s="144" t="s">
        <v>23</v>
      </c>
      <c r="K18" s="98" t="s">
        <v>14</v>
      </c>
      <c r="L18" s="96">
        <v>8.8999999999999999E-3</v>
      </c>
      <c r="M18" s="70">
        <v>6</v>
      </c>
      <c r="N18" s="81">
        <v>163.6</v>
      </c>
      <c r="O18" s="127"/>
      <c r="P18" s="68"/>
      <c r="Q18" s="73"/>
      <c r="R18" s="127"/>
      <c r="S18" s="68"/>
      <c r="T18" s="73"/>
      <c r="U18" s="127"/>
      <c r="V18" s="68"/>
      <c r="W18" s="73"/>
      <c r="X18" s="77"/>
      <c r="Y18" s="68"/>
      <c r="Z18" s="73"/>
      <c r="AA18" s="77"/>
      <c r="AB18" s="68"/>
      <c r="AC18" s="73"/>
      <c r="AD18" s="127"/>
      <c r="AE18" s="68"/>
      <c r="AF18" s="73"/>
      <c r="AG18" s="76" t="s">
        <v>91</v>
      </c>
      <c r="AH18" s="71" t="s">
        <v>91</v>
      </c>
      <c r="AI18" s="72" t="s">
        <v>91</v>
      </c>
      <c r="AJ18" s="30"/>
      <c r="AK18" s="30"/>
      <c r="AL18" s="30"/>
      <c r="AM18" s="135">
        <v>15</v>
      </c>
      <c r="AN18" s="69">
        <v>10</v>
      </c>
      <c r="AO18" s="144" t="s">
        <v>23</v>
      </c>
      <c r="AP18" s="234" t="s">
        <v>14</v>
      </c>
      <c r="AQ18" s="127"/>
      <c r="AR18" s="68"/>
      <c r="AS18" s="68"/>
      <c r="AT18" s="68"/>
      <c r="AU18" s="68"/>
      <c r="AV18" s="68"/>
      <c r="AW18" s="72" t="s">
        <v>91</v>
      </c>
    </row>
    <row r="19" spans="1:49" ht="15">
      <c r="A19" s="30"/>
      <c r="B19" s="30"/>
      <c r="C19" s="30"/>
      <c r="D19" s="30"/>
      <c r="E19" s="30"/>
      <c r="F19" s="30"/>
      <c r="G19" s="30"/>
      <c r="H19" s="135">
        <v>2</v>
      </c>
      <c r="I19" s="69">
        <v>11</v>
      </c>
      <c r="J19" s="144" t="s">
        <v>153</v>
      </c>
      <c r="K19" s="98" t="s">
        <v>147</v>
      </c>
      <c r="L19" s="96">
        <f>'03-VolumetriaCredActualizada'!G16</f>
        <v>0.02</v>
      </c>
      <c r="M19" s="70">
        <f>'03-VolumetriaCredActualizada'!K16</f>
        <v>33</v>
      </c>
      <c r="N19" s="81">
        <f>'03-VolumetriaCredActualizada'!O16</f>
        <v>70</v>
      </c>
      <c r="O19" s="127"/>
      <c r="P19" s="68"/>
      <c r="Q19" s="73"/>
      <c r="R19" s="127"/>
      <c r="S19" s="68"/>
      <c r="T19" s="73"/>
      <c r="U19" s="127"/>
      <c r="V19" s="68"/>
      <c r="W19" s="73"/>
      <c r="X19" s="77"/>
      <c r="Y19" s="68"/>
      <c r="Z19" s="73"/>
      <c r="AA19" s="77"/>
      <c r="AB19" s="68"/>
      <c r="AC19" s="73"/>
      <c r="AD19" s="127"/>
      <c r="AE19" s="68"/>
      <c r="AF19" s="73"/>
      <c r="AG19" s="76" t="s">
        <v>91</v>
      </c>
      <c r="AH19" s="71" t="s">
        <v>91</v>
      </c>
      <c r="AI19" s="72" t="s">
        <v>91</v>
      </c>
      <c r="AJ19" s="30"/>
      <c r="AK19" s="30"/>
      <c r="AL19" s="30"/>
      <c r="AM19" s="135">
        <v>2</v>
      </c>
      <c r="AN19" s="69">
        <v>11</v>
      </c>
      <c r="AO19" s="144" t="s">
        <v>153</v>
      </c>
      <c r="AP19" s="234" t="s">
        <v>147</v>
      </c>
      <c r="AQ19" s="127"/>
      <c r="AR19" s="68"/>
      <c r="AS19" s="68"/>
      <c r="AT19" s="68"/>
      <c r="AU19" s="68"/>
      <c r="AV19" s="68"/>
      <c r="AW19" s="72" t="s">
        <v>91</v>
      </c>
    </row>
    <row r="20" spans="1:49" ht="15">
      <c r="A20" s="30"/>
      <c r="B20" s="30"/>
      <c r="C20" s="30"/>
      <c r="D20" s="30"/>
      <c r="E20" s="30"/>
      <c r="F20" s="30"/>
      <c r="G20" s="30"/>
      <c r="H20" s="135">
        <v>3</v>
      </c>
      <c r="I20" s="69">
        <v>12</v>
      </c>
      <c r="J20" s="144" t="s">
        <v>9</v>
      </c>
      <c r="K20" s="98" t="s">
        <v>147</v>
      </c>
      <c r="L20" s="96">
        <f>'03-VolumetriaCredActualizada'!G17</f>
        <v>0.06</v>
      </c>
      <c r="M20" s="70">
        <f>'03-VolumetriaCredActualizada'!K17</f>
        <v>21</v>
      </c>
      <c r="N20" s="81">
        <f>'03-VolumetriaCredActualizada'!O17</f>
        <v>52</v>
      </c>
      <c r="O20" s="127"/>
      <c r="P20" s="68"/>
      <c r="Q20" s="73"/>
      <c r="R20" s="127"/>
      <c r="S20" s="68"/>
      <c r="T20" s="73"/>
      <c r="U20" s="127"/>
      <c r="V20" s="68"/>
      <c r="W20" s="73"/>
      <c r="X20" s="77"/>
      <c r="Y20" s="68"/>
      <c r="Z20" s="73"/>
      <c r="AA20" s="77"/>
      <c r="AB20" s="68"/>
      <c r="AC20" s="73"/>
      <c r="AD20" s="127"/>
      <c r="AE20" s="68"/>
      <c r="AF20" s="73"/>
      <c r="AG20" s="76" t="s">
        <v>91</v>
      </c>
      <c r="AH20" s="71" t="s">
        <v>91</v>
      </c>
      <c r="AI20" s="72" t="s">
        <v>91</v>
      </c>
      <c r="AJ20" s="30"/>
      <c r="AK20" s="30"/>
      <c r="AL20" s="30"/>
      <c r="AM20" s="135">
        <v>3</v>
      </c>
      <c r="AN20" s="69">
        <v>12</v>
      </c>
      <c r="AO20" s="144" t="s">
        <v>9</v>
      </c>
      <c r="AP20" s="234" t="s">
        <v>147</v>
      </c>
      <c r="AQ20" s="127"/>
      <c r="AR20" s="68"/>
      <c r="AS20" s="68"/>
      <c r="AT20" s="68"/>
      <c r="AU20" s="68"/>
      <c r="AV20" s="68"/>
      <c r="AW20" s="72" t="s">
        <v>91</v>
      </c>
    </row>
    <row r="21" spans="1:49" ht="15">
      <c r="A21" s="30"/>
      <c r="B21" s="30"/>
      <c r="C21" s="30"/>
      <c r="D21" s="30"/>
      <c r="E21" s="30"/>
      <c r="F21" s="30"/>
      <c r="G21" s="30"/>
      <c r="H21" s="135">
        <v>6</v>
      </c>
      <c r="I21" s="69">
        <v>13</v>
      </c>
      <c r="J21" s="144" t="s">
        <v>13</v>
      </c>
      <c r="K21" s="98" t="s">
        <v>14</v>
      </c>
      <c r="L21" s="96">
        <f>'03-VolumetriaCredActualizada'!G18</f>
        <v>1.4999999999999999E-2</v>
      </c>
      <c r="M21" s="70">
        <f>'03-VolumetriaCredActualizada'!K18</f>
        <v>43</v>
      </c>
      <c r="N21" s="81">
        <f>'03-VolumetriaCredActualizada'!O18</f>
        <v>181.6</v>
      </c>
      <c r="O21" s="127"/>
      <c r="P21" s="68"/>
      <c r="Q21" s="73"/>
      <c r="R21" s="127"/>
      <c r="S21" s="68"/>
      <c r="T21" s="73"/>
      <c r="U21" s="127"/>
      <c r="V21" s="68"/>
      <c r="W21" s="73"/>
      <c r="X21" s="77"/>
      <c r="Y21" s="68"/>
      <c r="Z21" s="73"/>
      <c r="AA21" s="77"/>
      <c r="AB21" s="68"/>
      <c r="AC21" s="73"/>
      <c r="AD21" s="127"/>
      <c r="AE21" s="68"/>
      <c r="AF21" s="73"/>
      <c r="AG21" s="76" t="s">
        <v>91</v>
      </c>
      <c r="AH21" s="71" t="s">
        <v>91</v>
      </c>
      <c r="AI21" s="72" t="s">
        <v>91</v>
      </c>
      <c r="AJ21" s="30"/>
      <c r="AK21" s="30"/>
      <c r="AL21" s="30"/>
      <c r="AM21" s="135">
        <v>6</v>
      </c>
      <c r="AN21" s="69">
        <v>13</v>
      </c>
      <c r="AO21" s="144" t="s">
        <v>13</v>
      </c>
      <c r="AP21" s="234" t="s">
        <v>14</v>
      </c>
      <c r="AQ21" s="127"/>
      <c r="AR21" s="68"/>
      <c r="AS21" s="68"/>
      <c r="AT21" s="68"/>
      <c r="AU21" s="68"/>
      <c r="AV21" s="68"/>
      <c r="AW21" s="72" t="s">
        <v>91</v>
      </c>
    </row>
    <row r="22" spans="1:49" ht="15">
      <c r="A22" s="30"/>
      <c r="B22" s="30"/>
      <c r="C22" s="30"/>
      <c r="D22" s="30"/>
      <c r="E22" s="30"/>
      <c r="F22" s="30"/>
      <c r="G22" s="30"/>
      <c r="H22" s="135">
        <v>7</v>
      </c>
      <c r="I22" s="69">
        <v>14</v>
      </c>
      <c r="J22" s="144" t="s">
        <v>15</v>
      </c>
      <c r="K22" s="98" t="s">
        <v>147</v>
      </c>
      <c r="L22" s="96">
        <f>'03-VolumetriaCredActualizada'!G15</f>
        <v>9.99701E-6</v>
      </c>
      <c r="M22" s="70">
        <f>'03-VolumetriaCredActualizada'!K15</f>
        <v>6</v>
      </c>
      <c r="N22" s="81">
        <f>'03-VolumetriaCredActualizada'!O15</f>
        <v>0.15962999999999999</v>
      </c>
      <c r="O22" s="127"/>
      <c r="P22" s="68"/>
      <c r="Q22" s="73"/>
      <c r="R22" s="127"/>
      <c r="S22" s="68"/>
      <c r="T22" s="73"/>
      <c r="U22" s="127"/>
      <c r="V22" s="68"/>
      <c r="W22" s="73"/>
      <c r="X22" s="77"/>
      <c r="Y22" s="68"/>
      <c r="Z22" s="73"/>
      <c r="AA22" s="77"/>
      <c r="AB22" s="68"/>
      <c r="AC22" s="73"/>
      <c r="AD22" s="127"/>
      <c r="AE22" s="68"/>
      <c r="AF22" s="73"/>
      <c r="AG22" s="76" t="s">
        <v>91</v>
      </c>
      <c r="AH22" s="71" t="s">
        <v>91</v>
      </c>
      <c r="AI22" s="72" t="s">
        <v>91</v>
      </c>
      <c r="AJ22" s="30"/>
      <c r="AK22" s="30"/>
      <c r="AL22" s="30"/>
      <c r="AM22" s="135">
        <v>7</v>
      </c>
      <c r="AN22" s="69">
        <v>14</v>
      </c>
      <c r="AO22" s="144" t="s">
        <v>15</v>
      </c>
      <c r="AP22" s="234" t="s">
        <v>147</v>
      </c>
      <c r="AQ22" s="127"/>
      <c r="AR22" s="68"/>
      <c r="AS22" s="68"/>
      <c r="AT22" s="68"/>
      <c r="AU22" s="68"/>
      <c r="AV22" s="68"/>
      <c r="AW22" s="72" t="s">
        <v>91</v>
      </c>
    </row>
    <row r="23" spans="1:49" ht="15">
      <c r="A23" s="30"/>
      <c r="B23" s="30"/>
      <c r="C23" s="30"/>
      <c r="D23" s="30"/>
      <c r="E23" s="30"/>
      <c r="F23" s="30"/>
      <c r="G23" s="30"/>
      <c r="H23" s="135">
        <v>8</v>
      </c>
      <c r="I23" s="69">
        <v>15</v>
      </c>
      <c r="J23" s="144" t="s">
        <v>16</v>
      </c>
      <c r="K23" s="98" t="s">
        <v>14</v>
      </c>
      <c r="L23" s="96">
        <f>'03-VolumetriaCredActualizada'!G19</f>
        <v>1.44E-4</v>
      </c>
      <c r="M23" s="70">
        <f>'03-VolumetriaCredActualizada'!K19</f>
        <v>19</v>
      </c>
      <c r="N23" s="81">
        <f>'03-VolumetriaCredActualizada'!O19</f>
        <v>6.08</v>
      </c>
      <c r="O23" s="127"/>
      <c r="P23" s="68"/>
      <c r="Q23" s="73"/>
      <c r="R23" s="127"/>
      <c r="S23" s="68"/>
      <c r="T23" s="73"/>
      <c r="U23" s="127"/>
      <c r="V23" s="68"/>
      <c r="W23" s="73"/>
      <c r="X23" s="77"/>
      <c r="Y23" s="68"/>
      <c r="Z23" s="73"/>
      <c r="AA23" s="77"/>
      <c r="AB23" s="68"/>
      <c r="AC23" s="73"/>
      <c r="AD23" s="127"/>
      <c r="AE23" s="68"/>
      <c r="AF23" s="73"/>
      <c r="AG23" s="76" t="s">
        <v>91</v>
      </c>
      <c r="AH23" s="71" t="s">
        <v>91</v>
      </c>
      <c r="AI23" s="72" t="s">
        <v>91</v>
      </c>
      <c r="AJ23" s="30"/>
      <c r="AK23" s="30"/>
      <c r="AL23" s="30"/>
      <c r="AM23" s="135">
        <v>8</v>
      </c>
      <c r="AN23" s="69">
        <v>15</v>
      </c>
      <c r="AO23" s="144" t="s">
        <v>16</v>
      </c>
      <c r="AP23" s="234" t="s">
        <v>14</v>
      </c>
      <c r="AQ23" s="127"/>
      <c r="AR23" s="68"/>
      <c r="AS23" s="68"/>
      <c r="AT23" s="68"/>
      <c r="AU23" s="68"/>
      <c r="AV23" s="68"/>
      <c r="AW23" s="72" t="s">
        <v>91</v>
      </c>
    </row>
    <row r="24" spans="1:49" ht="15.75" thickBot="1">
      <c r="A24" s="30"/>
      <c r="B24" s="30"/>
      <c r="C24" s="30"/>
      <c r="D24" s="30"/>
      <c r="E24" s="30"/>
      <c r="F24" s="30"/>
      <c r="G24" s="30"/>
      <c r="H24" s="137">
        <v>14</v>
      </c>
      <c r="I24" s="82">
        <v>16</v>
      </c>
      <c r="J24" s="145" t="s">
        <v>22</v>
      </c>
      <c r="K24" s="99" t="s">
        <v>14</v>
      </c>
      <c r="L24" s="97">
        <f>'03-VolumetriaCredActualizada'!G20</f>
        <v>1.4999999999999999E-2</v>
      </c>
      <c r="M24" s="83">
        <f>'03-VolumetriaCredActualizada'!K20</f>
        <v>15</v>
      </c>
      <c r="N24" s="88">
        <f>'03-VolumetriaCredActualizada'!O20</f>
        <v>13</v>
      </c>
      <c r="O24" s="128"/>
      <c r="P24" s="78"/>
      <c r="Q24" s="79"/>
      <c r="R24" s="127"/>
      <c r="S24" s="68"/>
      <c r="T24" s="73"/>
      <c r="U24" s="127"/>
      <c r="V24" s="68"/>
      <c r="W24" s="73"/>
      <c r="X24" s="80"/>
      <c r="Y24" s="78"/>
      <c r="Z24" s="79"/>
      <c r="AA24" s="80"/>
      <c r="AB24" s="78"/>
      <c r="AC24" s="79"/>
      <c r="AD24" s="128"/>
      <c r="AE24" s="78"/>
      <c r="AF24" s="79"/>
      <c r="AG24" s="131" t="s">
        <v>91</v>
      </c>
      <c r="AH24" s="124" t="s">
        <v>91</v>
      </c>
      <c r="AI24" s="129" t="s">
        <v>91</v>
      </c>
      <c r="AJ24" s="30"/>
      <c r="AK24" s="30"/>
      <c r="AL24" s="30"/>
      <c r="AM24" s="137">
        <v>14</v>
      </c>
      <c r="AN24" s="82">
        <v>16</v>
      </c>
      <c r="AO24" s="145" t="s">
        <v>22</v>
      </c>
      <c r="AP24" s="235" t="s">
        <v>14</v>
      </c>
      <c r="AQ24" s="231"/>
      <c r="AR24" s="232"/>
      <c r="AS24" s="232"/>
      <c r="AT24" s="232"/>
      <c r="AU24" s="232"/>
      <c r="AV24" s="232"/>
      <c r="AW24" s="240" t="s">
        <v>91</v>
      </c>
    </row>
    <row r="25" spans="1:49" ht="69.75" customHeight="1" thickBot="1">
      <c r="A25" s="30"/>
      <c r="B25" s="30"/>
      <c r="C25" s="30"/>
      <c r="D25" s="30"/>
      <c r="E25" s="30"/>
      <c r="F25" s="30"/>
      <c r="G25" s="30"/>
      <c r="H25" s="105"/>
      <c r="I25" s="105"/>
      <c r="J25" s="106"/>
      <c r="K25" s="107"/>
      <c r="L25" s="108"/>
      <c r="M25" s="109"/>
      <c r="N25" s="110"/>
      <c r="O25" s="84">
        <f>SUM(L5)</f>
        <v>0</v>
      </c>
      <c r="P25" s="111">
        <f>SUM(M5)</f>
        <v>11</v>
      </c>
      <c r="Q25" s="112">
        <f>SUM(N5)</f>
        <v>120</v>
      </c>
      <c r="R25" s="85">
        <f>SUM(L6)+SUM(O25)</f>
        <v>1.8699999999999999E-3</v>
      </c>
      <c r="S25" s="85">
        <f>SUM(M6)+SUM(P25)</f>
        <v>58</v>
      </c>
      <c r="T25" s="85">
        <f>SUM(N6)+SUM(Q25)</f>
        <v>1370</v>
      </c>
      <c r="U25" s="85">
        <f>SUM(L7)+SUM(R25)</f>
        <v>6.8700000000000002E-3</v>
      </c>
      <c r="V25" s="85">
        <f>SUM(M7)+SUM(S25)</f>
        <v>64</v>
      </c>
      <c r="W25" s="85">
        <f>SUM(N7)+SUM(T25)</f>
        <v>1380.51421</v>
      </c>
      <c r="X25" s="85">
        <f>SUM(L8:L12)+SUM(U25)</f>
        <v>1.8870000000000001E-2</v>
      </c>
      <c r="Y25" s="85">
        <f>SUM(M8:M12)+SUM(V25)</f>
        <v>171</v>
      </c>
      <c r="Z25" s="85">
        <f>SUM(N8:N12)+SUM(W25)</f>
        <v>1400.58421</v>
      </c>
      <c r="AA25" s="85">
        <f>SUM(L14:L15)+SUM(X25)</f>
        <v>5.1471243E-2</v>
      </c>
      <c r="AB25" s="85">
        <f>SUM(M14:M15)+SUM(Y25)</f>
        <v>198</v>
      </c>
      <c r="AC25" s="113">
        <f>SUM(N14:N15)+SUM(Z25)</f>
        <v>3371.5542100000002</v>
      </c>
      <c r="AD25" s="84">
        <f>SUM(L16:L17)+SUM(AA25)</f>
        <v>0.181471243</v>
      </c>
      <c r="AE25" s="85">
        <f>SUM(M16:M17)+SUM(AB25)</f>
        <v>205</v>
      </c>
      <c r="AF25" s="113">
        <f>SUM(N16:N17)+SUM(AC25)</f>
        <v>3375.0542100000002</v>
      </c>
      <c r="AG25" s="85">
        <f>SUM(L18:L24)+AD25</f>
        <v>0.30052524001000003</v>
      </c>
      <c r="AH25" s="85">
        <f>SUM(M18:M24)+AE25</f>
        <v>348</v>
      </c>
      <c r="AI25" s="113">
        <f>SUM(N18:N24)+AF25</f>
        <v>3861.4938400000001</v>
      </c>
      <c r="AJ25" s="30"/>
      <c r="AK25" s="30"/>
      <c r="AL25" s="30"/>
      <c r="AM25" s="105"/>
      <c r="AN25" s="105"/>
      <c r="AO25" s="106"/>
      <c r="AP25" s="107"/>
    </row>
    <row r="26" spans="1:49">
      <c r="A26" s="30"/>
      <c r="B26" s="30"/>
      <c r="C26" s="30"/>
      <c r="D26" s="30"/>
      <c r="E26" s="30"/>
      <c r="F26" s="30"/>
      <c r="G26" s="30"/>
      <c r="H26" s="105"/>
      <c r="I26" s="105"/>
      <c r="J26" s="106"/>
      <c r="K26" s="107"/>
      <c r="L26" s="108"/>
      <c r="M26" s="109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</row>
    <row r="27" spans="1:49">
      <c r="A27" s="30"/>
      <c r="B27" s="30"/>
      <c r="C27" s="30"/>
      <c r="D27" s="30"/>
      <c r="E27" s="30"/>
      <c r="F27" s="30"/>
      <c r="G27" s="30"/>
      <c r="H27" s="105"/>
      <c r="I27" s="105"/>
      <c r="J27" s="106"/>
      <c r="K27" s="107"/>
      <c r="L27" s="108"/>
      <c r="M27" s="109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</row>
    <row r="28" spans="1:49">
      <c r="A28" s="30"/>
      <c r="B28" s="30"/>
      <c r="C28" s="30"/>
      <c r="D28" s="30"/>
      <c r="E28" s="30"/>
      <c r="F28" s="30"/>
      <c r="G28" s="30"/>
      <c r="H28" s="30"/>
      <c r="I28" s="31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spans="1:49">
      <c r="A29" s="30"/>
      <c r="B29" s="30"/>
      <c r="C29" s="30"/>
      <c r="D29" s="30"/>
      <c r="E29" s="30"/>
      <c r="F29" s="30"/>
      <c r="G29" s="30"/>
      <c r="H29" s="30"/>
      <c r="I29" s="31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 spans="1:49">
      <c r="A30" s="30"/>
      <c r="B30" s="30"/>
      <c r="C30" s="30"/>
      <c r="D30" s="30"/>
      <c r="E30" s="30"/>
      <c r="F30" s="30"/>
      <c r="G30" s="30"/>
      <c r="H30" s="30"/>
      <c r="I30" s="31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spans="1:49">
      <c r="A31" s="30"/>
      <c r="B31" s="30"/>
      <c r="C31" s="30"/>
      <c r="D31" s="30"/>
      <c r="E31" s="30"/>
      <c r="F31" s="30"/>
      <c r="G31" s="30"/>
      <c r="H31" s="30"/>
      <c r="I31" s="31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spans="1:49">
      <c r="A32" s="30"/>
      <c r="B32" s="30"/>
      <c r="C32" s="30"/>
      <c r="D32" s="30"/>
      <c r="E32" s="30"/>
      <c r="F32" s="30"/>
      <c r="G32" s="30"/>
      <c r="H32" s="30"/>
      <c r="I32" s="31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spans="1:38">
      <c r="A33" s="30"/>
      <c r="B33" s="30"/>
      <c r="C33" s="30"/>
      <c r="D33" s="30"/>
      <c r="E33" s="30"/>
      <c r="F33" s="30"/>
      <c r="G33" s="30"/>
      <c r="H33" s="30"/>
      <c r="I33" s="31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spans="1:38">
      <c r="A34" s="30"/>
      <c r="B34" s="30"/>
      <c r="C34" s="30"/>
      <c r="D34" s="30"/>
      <c r="E34" s="30"/>
      <c r="F34" s="30"/>
      <c r="G34" s="30"/>
      <c r="H34" s="30"/>
      <c r="I34" s="31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>
      <c r="A35" s="30"/>
      <c r="B35" s="30"/>
      <c r="C35" s="30"/>
      <c r="D35" s="30"/>
      <c r="E35" s="30"/>
      <c r="F35" s="30"/>
      <c r="G35" s="30"/>
      <c r="H35" s="30"/>
      <c r="I35" s="31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</row>
    <row r="36" spans="1:38">
      <c r="A36" s="30"/>
      <c r="B36" s="30"/>
      <c r="C36" s="30"/>
      <c r="D36" s="30"/>
      <c r="E36" s="30"/>
      <c r="F36" s="30"/>
      <c r="G36" s="30"/>
      <c r="H36" s="30"/>
      <c r="I36" s="31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</row>
    <row r="37" spans="1:38">
      <c r="A37" s="30"/>
      <c r="B37" s="30"/>
      <c r="C37" s="30"/>
      <c r="D37" s="30"/>
      <c r="E37" s="30"/>
      <c r="F37" s="30"/>
      <c r="G37" s="30"/>
      <c r="H37" s="30"/>
      <c r="I37" s="31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</row>
    <row r="38" spans="1:38">
      <c r="A38" s="30"/>
      <c r="B38" s="30"/>
      <c r="C38" s="30"/>
      <c r="D38" s="30"/>
      <c r="E38" s="30"/>
      <c r="F38" s="30"/>
      <c r="G38" s="30"/>
      <c r="H38" s="30"/>
      <c r="I38" s="31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38">
      <c r="A39" s="30"/>
      <c r="B39" s="30"/>
      <c r="C39" s="30"/>
      <c r="D39" s="30"/>
      <c r="E39" s="30"/>
      <c r="F39" s="30"/>
      <c r="G39" s="30"/>
      <c r="H39" s="30"/>
      <c r="I39" s="31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spans="1:38">
      <c r="A40" s="30"/>
      <c r="B40" s="30"/>
      <c r="C40" s="30"/>
      <c r="D40" s="30"/>
      <c r="E40" s="30"/>
      <c r="F40" s="30"/>
      <c r="G40" s="30"/>
      <c r="H40" s="30"/>
      <c r="I40" s="31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spans="1:38">
      <c r="A41" s="30"/>
      <c r="B41" s="30"/>
      <c r="C41" s="30"/>
      <c r="D41" s="30"/>
      <c r="E41" s="30"/>
      <c r="F41" s="30"/>
      <c r="G41" s="30"/>
      <c r="H41" s="30"/>
      <c r="I41" s="31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</row>
    <row r="42" spans="1:38">
      <c r="A42" s="30"/>
      <c r="B42" s="30"/>
      <c r="C42" s="30"/>
      <c r="D42" s="30"/>
      <c r="E42" s="30"/>
      <c r="F42" s="30"/>
      <c r="G42" s="30"/>
      <c r="H42" s="30"/>
      <c r="I42" s="31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</row>
    <row r="43" spans="1:38">
      <c r="A43" s="30"/>
      <c r="B43" s="30"/>
      <c r="C43" s="30"/>
      <c r="D43" s="30"/>
      <c r="E43" s="30"/>
      <c r="F43" s="30"/>
      <c r="G43" s="30"/>
      <c r="H43" s="30"/>
      <c r="I43" s="31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</row>
    <row r="44" spans="1:38">
      <c r="A44" s="30"/>
      <c r="B44" s="30"/>
      <c r="C44" s="30"/>
      <c r="D44" s="30"/>
    </row>
    <row r="45" spans="1:38">
      <c r="A45" s="30"/>
      <c r="B45" s="30"/>
      <c r="C45" s="30"/>
      <c r="D45" s="30"/>
    </row>
    <row r="46" spans="1:38">
      <c r="A46" s="30"/>
      <c r="B46" s="30"/>
      <c r="C46" s="30"/>
      <c r="D46" s="30"/>
    </row>
    <row r="47" spans="1:38">
      <c r="A47" s="30"/>
      <c r="B47" s="30"/>
      <c r="C47" s="30"/>
      <c r="D47" s="30"/>
    </row>
    <row r="48" spans="1:38">
      <c r="A48" s="30"/>
      <c r="B48" s="30"/>
      <c r="C48" s="30"/>
      <c r="D48" s="30"/>
    </row>
    <row r="49" spans="1:4">
      <c r="A49" s="30"/>
      <c r="B49" s="30"/>
      <c r="C49" s="30"/>
      <c r="D49" s="30"/>
    </row>
    <row r="50" spans="1:4">
      <c r="A50" s="30"/>
      <c r="B50" s="30"/>
      <c r="C50" s="30"/>
      <c r="D50" s="30"/>
    </row>
    <row r="51" spans="1:4">
      <c r="A51" s="30"/>
      <c r="B51" s="30"/>
      <c r="C51" s="30"/>
      <c r="D51" s="30"/>
    </row>
    <row r="52" spans="1:4">
      <c r="A52" s="30"/>
      <c r="B52" s="30"/>
      <c r="C52" s="30"/>
      <c r="D52" s="30"/>
    </row>
    <row r="53" spans="1:4">
      <c r="A53" s="30"/>
      <c r="B53" s="30"/>
      <c r="C53" s="30"/>
      <c r="D53" s="30"/>
    </row>
    <row r="54" spans="1:4">
      <c r="A54" s="30"/>
      <c r="B54" s="30"/>
      <c r="C54" s="30"/>
      <c r="D54" s="30"/>
    </row>
    <row r="55" spans="1:4">
      <c r="A55" s="30"/>
      <c r="B55" s="30"/>
      <c r="C55" s="30"/>
      <c r="D55" s="30"/>
    </row>
    <row r="56" spans="1:4">
      <c r="A56" s="30"/>
      <c r="B56" s="30"/>
      <c r="C56" s="30"/>
      <c r="D56" s="30"/>
    </row>
    <row r="57" spans="1:4">
      <c r="A57" s="30"/>
      <c r="B57" s="30"/>
      <c r="C57" s="30"/>
      <c r="D57" s="30"/>
    </row>
    <row r="58" spans="1:4">
      <c r="A58" s="30"/>
      <c r="B58" s="30"/>
      <c r="C58" s="30"/>
      <c r="D58" s="30"/>
    </row>
    <row r="59" spans="1:4">
      <c r="A59" s="30"/>
      <c r="B59" s="30"/>
      <c r="C59" s="30"/>
      <c r="D59" s="30"/>
    </row>
    <row r="60" spans="1:4">
      <c r="A60" s="30"/>
      <c r="B60" s="30"/>
      <c r="C60" s="30"/>
      <c r="D60" s="30"/>
    </row>
    <row r="61" spans="1:4">
      <c r="A61" s="30"/>
      <c r="B61" s="30"/>
      <c r="C61" s="30"/>
      <c r="D61" s="30"/>
    </row>
    <row r="62" spans="1:4">
      <c r="A62" s="30"/>
      <c r="B62" s="30"/>
      <c r="C62" s="30"/>
      <c r="D62" s="30"/>
    </row>
    <row r="63" spans="1:4">
      <c r="A63" s="30"/>
      <c r="B63" s="30"/>
      <c r="C63" s="30"/>
      <c r="D63" s="30"/>
    </row>
    <row r="64" spans="1:4">
      <c r="A64" s="30"/>
      <c r="B64" s="30"/>
      <c r="C64" s="30"/>
      <c r="D64" s="30"/>
    </row>
    <row r="65" spans="1:4">
      <c r="A65" s="30"/>
      <c r="B65" s="30"/>
      <c r="C65" s="30"/>
      <c r="D65" s="30"/>
    </row>
    <row r="66" spans="1:4">
      <c r="A66" s="30"/>
      <c r="B66" s="30"/>
      <c r="C66" s="30"/>
      <c r="D66" s="30"/>
    </row>
    <row r="67" spans="1:4">
      <c r="A67" s="30"/>
      <c r="B67" s="30"/>
      <c r="C67" s="30"/>
      <c r="D67" s="30"/>
    </row>
    <row r="68" spans="1:4">
      <c r="A68" s="30"/>
      <c r="B68" s="30"/>
      <c r="C68" s="30"/>
      <c r="D68" s="30"/>
    </row>
    <row r="69" spans="1:4">
      <c r="A69" s="30"/>
      <c r="B69" s="30"/>
      <c r="C69" s="30"/>
      <c r="D69" s="30"/>
    </row>
    <row r="70" spans="1:4">
      <c r="A70" s="30"/>
      <c r="B70" s="30"/>
      <c r="C70" s="30"/>
      <c r="D70" s="30"/>
    </row>
    <row r="71" spans="1:4">
      <c r="A71" s="30"/>
      <c r="B71" s="30"/>
      <c r="C71" s="30"/>
      <c r="D71" s="30"/>
    </row>
    <row r="72" spans="1:4">
      <c r="A72" s="30"/>
      <c r="B72" s="30"/>
      <c r="C72" s="30"/>
      <c r="D72" s="30"/>
    </row>
    <row r="73" spans="1:4">
      <c r="A73" s="30"/>
      <c r="B73" s="30"/>
      <c r="C73" s="30"/>
      <c r="D73" s="30"/>
    </row>
    <row r="74" spans="1:4">
      <c r="A74" s="30"/>
      <c r="B74" s="30"/>
      <c r="C74" s="30"/>
      <c r="D74" s="30"/>
    </row>
    <row r="75" spans="1:4">
      <c r="A75" s="30"/>
      <c r="B75" s="30"/>
      <c r="C75" s="30"/>
      <c r="D75" s="30"/>
    </row>
    <row r="76" spans="1:4">
      <c r="A76" s="30"/>
      <c r="B76" s="30"/>
      <c r="C76" s="30"/>
      <c r="D76" s="30"/>
    </row>
    <row r="77" spans="1:4">
      <c r="A77" s="30"/>
      <c r="B77" s="30"/>
      <c r="C77" s="30"/>
      <c r="D77" s="30"/>
    </row>
    <row r="78" spans="1:4">
      <c r="A78" s="30"/>
      <c r="B78" s="30"/>
      <c r="C78" s="30"/>
      <c r="D78" s="30"/>
    </row>
    <row r="79" spans="1:4">
      <c r="A79" s="30"/>
      <c r="B79" s="30"/>
      <c r="C79" s="30"/>
      <c r="D79" s="30"/>
    </row>
    <row r="80" spans="1:4">
      <c r="A80" s="30"/>
      <c r="B80" s="30"/>
      <c r="C80" s="30"/>
      <c r="D80" s="30"/>
    </row>
    <row r="81" spans="1:4">
      <c r="A81" s="30"/>
      <c r="B81" s="30"/>
      <c r="C81" s="30"/>
      <c r="D81" s="30"/>
    </row>
    <row r="82" spans="1:4">
      <c r="A82" s="30"/>
      <c r="B82" s="30"/>
      <c r="C82" s="30"/>
      <c r="D82" s="30"/>
    </row>
    <row r="83" spans="1:4">
      <c r="A83" s="30"/>
      <c r="B83" s="30"/>
      <c r="C83" s="30"/>
      <c r="D83" s="30"/>
    </row>
    <row r="84" spans="1:4">
      <c r="A84" s="30"/>
      <c r="B84" s="30"/>
      <c r="C84" s="30"/>
      <c r="D84" s="30"/>
    </row>
  </sheetData>
  <mergeCells count="17">
    <mergeCell ref="Y8:Y12"/>
    <mergeCell ref="AQ3:AW3"/>
    <mergeCell ref="AP8:AP12"/>
    <mergeCell ref="AT8:AT12"/>
    <mergeCell ref="AN3:AP3"/>
    <mergeCell ref="I3:N3"/>
    <mergeCell ref="AG3:AI3"/>
    <mergeCell ref="O3:Q3"/>
    <mergeCell ref="X3:Z3"/>
    <mergeCell ref="AA3:AC3"/>
    <mergeCell ref="AD3:AF3"/>
    <mergeCell ref="Z8:Z12"/>
    <mergeCell ref="K8:K12"/>
    <mergeCell ref="L8:L12"/>
    <mergeCell ref="M8:M12"/>
    <mergeCell ref="N8:N12"/>
    <mergeCell ref="X8:X12"/>
  </mergeCells>
  <pageMargins left="0.7" right="0.7" top="0.75" bottom="0.75" header="0.3" footer="0.3"/>
  <headerFooter>
    <oddFooter>&amp;C_x000D_&amp;1#&amp;"Aptos"&amp;8&amp;K0000FF Datos elaborados por BCP para uso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737E-AC9C-40AE-BA89-3B3B4FB89954}">
  <dimension ref="A1:BL42"/>
  <sheetViews>
    <sheetView zoomScale="90" zoomScaleNormal="90" workbookViewId="0">
      <pane xSplit="5" ySplit="3" topLeftCell="F4" activePane="bottomRight" state="frozen"/>
      <selection pane="topRight" activeCell="J1" sqref="J1"/>
      <selection pane="bottomLeft" activeCell="A4" sqref="A4"/>
      <selection pane="bottomRight" activeCell="I12" sqref="I12"/>
    </sheetView>
  </sheetViews>
  <sheetFormatPr baseColWidth="10" defaultColWidth="11.625" defaultRowHeight="14.25"/>
  <cols>
    <col min="2" max="2" width="9.375" style="9" hidden="1" customWidth="1"/>
    <col min="3" max="3" width="28.625" customWidth="1"/>
    <col min="4" max="4" width="7.125" customWidth="1"/>
    <col min="5" max="6" width="21.25" customWidth="1"/>
    <col min="7" max="7" width="14.25" customWidth="1"/>
    <col min="8" max="8" width="16.375" customWidth="1"/>
    <col min="9" max="10" width="8.125" customWidth="1"/>
    <col min="11" max="11" width="16.75" customWidth="1"/>
    <col min="12" max="12" width="17.125" customWidth="1"/>
    <col min="13" max="13" width="16.375" customWidth="1"/>
    <col min="14" max="14" width="13.75" customWidth="1"/>
    <col min="15" max="15" width="12" customWidth="1"/>
    <col min="16" max="16" width="13.375" customWidth="1"/>
    <col min="17" max="17" width="13.25" customWidth="1"/>
    <col min="18" max="31" width="12.625" customWidth="1"/>
    <col min="32" max="32" width="7.625" customWidth="1"/>
    <col min="33" max="33" width="8.875" customWidth="1"/>
    <col min="34" max="40" width="7.625" customWidth="1"/>
    <col min="41" max="41" width="9.125" customWidth="1"/>
    <col min="42" max="42" width="14.125" customWidth="1"/>
    <col min="43" max="43" width="23" customWidth="1"/>
    <col min="44" max="44" width="11.75" bestFit="1" customWidth="1"/>
    <col min="45" max="45" width="12" bestFit="1" customWidth="1"/>
    <col min="46" max="46" width="14.875" bestFit="1" customWidth="1"/>
    <col min="47" max="47" width="9" bestFit="1" customWidth="1"/>
    <col min="48" max="48" width="12" bestFit="1" customWidth="1"/>
    <col min="49" max="49" width="9" bestFit="1" customWidth="1"/>
    <col min="50" max="51" width="12" bestFit="1" customWidth="1"/>
    <col min="52" max="52" width="18.375" bestFit="1" customWidth="1"/>
    <col min="53" max="53" width="16.875" bestFit="1" customWidth="1"/>
    <col min="54" max="54" width="17" bestFit="1" customWidth="1"/>
    <col min="55" max="55" width="22.375" bestFit="1" customWidth="1"/>
    <col min="56" max="57" width="15.25" bestFit="1" customWidth="1"/>
    <col min="58" max="58" width="13.25" bestFit="1" customWidth="1"/>
    <col min="59" max="59" width="18.25" bestFit="1" customWidth="1"/>
    <col min="60" max="60" width="15.25" bestFit="1" customWidth="1"/>
    <col min="61" max="61" width="20" bestFit="1" customWidth="1"/>
    <col min="62" max="62" width="11.25" customWidth="1"/>
  </cols>
  <sheetData>
    <row r="1" spans="1:64">
      <c r="K1" t="s">
        <v>142</v>
      </c>
      <c r="L1" t="s">
        <v>142</v>
      </c>
      <c r="M1" t="s">
        <v>142</v>
      </c>
      <c r="O1" t="s">
        <v>142</v>
      </c>
      <c r="AZ1" s="280" t="s">
        <v>166</v>
      </c>
      <c r="BA1" s="280"/>
      <c r="BB1" s="280"/>
      <c r="BC1" s="280"/>
      <c r="BD1" s="280"/>
      <c r="BE1" s="280"/>
      <c r="BF1" s="280"/>
      <c r="BG1" s="280"/>
      <c r="BH1" s="280"/>
      <c r="BI1" s="281"/>
      <c r="BJ1" s="19"/>
      <c r="BK1" s="19"/>
      <c r="BL1" s="19"/>
    </row>
    <row r="2" spans="1:64" ht="81" customHeight="1">
      <c r="A2" s="2"/>
      <c r="B2" s="8"/>
      <c r="C2" s="2"/>
      <c r="D2" s="2"/>
      <c r="E2" s="11"/>
      <c r="F2" s="11"/>
      <c r="G2" s="290" t="s">
        <v>214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5" t="s">
        <v>215</v>
      </c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1" t="s">
        <v>39</v>
      </c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82" t="s">
        <v>184</v>
      </c>
      <c r="AS2" s="283"/>
      <c r="AT2" s="283"/>
      <c r="AU2" s="283"/>
      <c r="AV2" s="283"/>
      <c r="AW2" s="283"/>
      <c r="AX2" s="283"/>
      <c r="AY2" s="284"/>
      <c r="AZ2" s="292" t="s">
        <v>160</v>
      </c>
      <c r="BA2" s="292"/>
      <c r="BB2" s="292"/>
      <c r="BC2" s="292"/>
      <c r="BD2" s="292"/>
      <c r="BE2" s="293" t="s">
        <v>25</v>
      </c>
      <c r="BF2" s="294"/>
      <c r="BG2" s="294"/>
      <c r="BH2" s="294"/>
      <c r="BI2" s="294"/>
      <c r="BJ2" s="292" t="s">
        <v>162</v>
      </c>
      <c r="BK2" s="292"/>
      <c r="BL2" s="292"/>
    </row>
    <row r="3" spans="1:64" ht="152.25">
      <c r="A3" s="1" t="s">
        <v>140</v>
      </c>
      <c r="B3" s="1" t="s">
        <v>139</v>
      </c>
      <c r="C3" s="1" t="s">
        <v>1</v>
      </c>
      <c r="D3" s="1" t="s">
        <v>73</v>
      </c>
      <c r="E3" s="1" t="s">
        <v>83</v>
      </c>
      <c r="F3" s="1" t="s">
        <v>527</v>
      </c>
      <c r="G3" s="7" t="s">
        <v>48</v>
      </c>
      <c r="H3" s="7" t="s">
        <v>49</v>
      </c>
      <c r="I3" s="7" t="s">
        <v>50</v>
      </c>
      <c r="J3" s="7" t="s">
        <v>51</v>
      </c>
      <c r="K3" s="14" t="s">
        <v>84</v>
      </c>
      <c r="L3" s="14" t="s">
        <v>86</v>
      </c>
      <c r="M3" s="14" t="s">
        <v>85</v>
      </c>
      <c r="N3" s="7" t="s">
        <v>52</v>
      </c>
      <c r="O3" s="14" t="s">
        <v>53</v>
      </c>
      <c r="P3" s="7" t="s">
        <v>55</v>
      </c>
      <c r="Q3" s="7" t="s">
        <v>56</v>
      </c>
      <c r="R3" s="7" t="s">
        <v>57</v>
      </c>
      <c r="S3" s="177" t="s">
        <v>48</v>
      </c>
      <c r="T3" s="177" t="s">
        <v>49</v>
      </c>
      <c r="U3" s="177" t="s">
        <v>50</v>
      </c>
      <c r="V3" s="177" t="s">
        <v>51</v>
      </c>
      <c r="W3" s="177" t="s">
        <v>84</v>
      </c>
      <c r="X3" s="177" t="s">
        <v>86</v>
      </c>
      <c r="Y3" s="177" t="s">
        <v>85</v>
      </c>
      <c r="Z3" s="177" t="s">
        <v>52</v>
      </c>
      <c r="AA3" s="177" t="s">
        <v>53</v>
      </c>
      <c r="AB3" s="177" t="s">
        <v>54</v>
      </c>
      <c r="AC3" s="177" t="s">
        <v>55</v>
      </c>
      <c r="AD3" s="177" t="s">
        <v>56</v>
      </c>
      <c r="AE3" s="177" t="s">
        <v>57</v>
      </c>
      <c r="AF3" s="6" t="s">
        <v>26</v>
      </c>
      <c r="AG3" s="6" t="s">
        <v>504</v>
      </c>
      <c r="AH3" s="208" t="s">
        <v>180</v>
      </c>
      <c r="AI3" s="6" t="s">
        <v>32</v>
      </c>
      <c r="AJ3" s="6" t="s">
        <v>361</v>
      </c>
      <c r="AK3" s="208" t="s">
        <v>362</v>
      </c>
      <c r="AL3" s="6" t="s">
        <v>505</v>
      </c>
      <c r="AM3" s="208" t="s">
        <v>181</v>
      </c>
      <c r="AN3" s="6" t="s">
        <v>28</v>
      </c>
      <c r="AO3" s="6" t="s">
        <v>29</v>
      </c>
      <c r="AP3" s="6" t="s">
        <v>30</v>
      </c>
      <c r="AQ3" s="1" t="s">
        <v>38</v>
      </c>
      <c r="AR3" s="163" t="s">
        <v>26</v>
      </c>
      <c r="AS3" s="163" t="s">
        <v>27</v>
      </c>
      <c r="AT3" s="163" t="s">
        <v>32</v>
      </c>
      <c r="AU3" s="163" t="s">
        <v>33</v>
      </c>
      <c r="AV3" s="163" t="s">
        <v>31</v>
      </c>
      <c r="AW3" s="163" t="s">
        <v>28</v>
      </c>
      <c r="AX3" s="163" t="s">
        <v>29</v>
      </c>
      <c r="AY3" s="163" t="s">
        <v>30</v>
      </c>
      <c r="AZ3" s="1" t="s">
        <v>26</v>
      </c>
      <c r="BA3" s="1" t="s">
        <v>27</v>
      </c>
      <c r="BB3" s="1" t="s">
        <v>28</v>
      </c>
      <c r="BC3" s="1" t="s">
        <v>29</v>
      </c>
      <c r="BD3" s="1" t="s">
        <v>30</v>
      </c>
      <c r="BE3" s="1" t="s">
        <v>74</v>
      </c>
      <c r="BF3" s="1" t="s">
        <v>75</v>
      </c>
      <c r="BG3" s="1" t="s">
        <v>32</v>
      </c>
      <c r="BH3" s="1" t="s">
        <v>33</v>
      </c>
      <c r="BI3" s="1" t="s">
        <v>161</v>
      </c>
      <c r="BJ3" s="1" t="s">
        <v>163</v>
      </c>
      <c r="BK3" s="1" t="s">
        <v>164</v>
      </c>
      <c r="BL3" s="1" t="s">
        <v>165</v>
      </c>
    </row>
    <row r="4" spans="1:64" ht="21.75" customHeight="1">
      <c r="A4" s="8">
        <v>10</v>
      </c>
      <c r="B4" s="8">
        <v>3</v>
      </c>
      <c r="C4" s="54" t="s">
        <v>507</v>
      </c>
      <c r="D4" s="61">
        <v>6</v>
      </c>
      <c r="E4" s="54" t="s">
        <v>2</v>
      </c>
      <c r="F4" s="54"/>
      <c r="G4" s="203">
        <v>5.0000000000000001E-3</v>
      </c>
      <c r="H4" s="146">
        <v>0.1</v>
      </c>
      <c r="I4" s="147"/>
      <c r="J4" s="147"/>
      <c r="K4" s="148">
        <v>6</v>
      </c>
      <c r="L4" s="147">
        <v>2</v>
      </c>
      <c r="M4" s="148" t="s">
        <v>87</v>
      </c>
      <c r="N4" s="148" t="s">
        <v>11</v>
      </c>
      <c r="O4" s="154">
        <v>10.51421</v>
      </c>
      <c r="P4" s="157">
        <v>0.25158000000000003</v>
      </c>
      <c r="Q4" s="154" t="s">
        <v>66</v>
      </c>
      <c r="R4" s="154" t="s">
        <v>66</v>
      </c>
      <c r="S4" s="146"/>
      <c r="T4" s="146"/>
      <c r="U4" s="147"/>
      <c r="V4" s="147"/>
      <c r="W4" s="148"/>
      <c r="X4" s="147"/>
      <c r="Y4" s="148"/>
      <c r="Z4" s="148"/>
      <c r="AA4" s="154"/>
      <c r="AB4" s="148"/>
      <c r="AC4" s="157"/>
      <c r="AD4" s="154"/>
      <c r="AE4" s="154"/>
      <c r="AF4" s="64" t="s">
        <v>40</v>
      </c>
      <c r="AG4" s="64"/>
      <c r="AH4" s="64" t="s">
        <v>40</v>
      </c>
      <c r="AI4" s="64" t="s">
        <v>40</v>
      </c>
      <c r="AJ4" s="64" t="s">
        <v>40</v>
      </c>
      <c r="AK4" s="64"/>
      <c r="AL4" s="64" t="s">
        <v>40</v>
      </c>
      <c r="AM4" s="64"/>
      <c r="AN4" s="64" t="s">
        <v>40</v>
      </c>
      <c r="AO4" s="64" t="s">
        <v>42</v>
      </c>
      <c r="AP4" s="64" t="s">
        <v>40</v>
      </c>
      <c r="AQ4" s="13" t="s">
        <v>46</v>
      </c>
      <c r="AR4" s="13"/>
      <c r="AS4" s="13"/>
      <c r="AT4" s="13"/>
      <c r="AU4" s="13"/>
      <c r="AV4" s="13"/>
      <c r="AW4" s="13"/>
      <c r="AX4" s="13"/>
      <c r="AY4" s="13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2"/>
      <c r="BL4" s="2"/>
    </row>
    <row r="5" spans="1:64" ht="21.75" customHeight="1">
      <c r="A5" s="215">
        <v>10</v>
      </c>
      <c r="B5" s="215">
        <v>3</v>
      </c>
      <c r="C5" s="55" t="s">
        <v>508</v>
      </c>
      <c r="D5" s="216"/>
      <c r="E5" s="55" t="s">
        <v>2</v>
      </c>
      <c r="F5" s="55"/>
      <c r="G5" s="223" t="s">
        <v>514</v>
      </c>
      <c r="H5" s="147" t="s">
        <v>59</v>
      </c>
      <c r="I5" s="225"/>
      <c r="J5" s="225"/>
      <c r="K5" s="226">
        <v>6</v>
      </c>
      <c r="L5" s="225"/>
      <c r="M5" s="226"/>
      <c r="N5" s="226"/>
      <c r="O5" s="227"/>
      <c r="P5" s="228">
        <v>11</v>
      </c>
      <c r="Q5" s="227"/>
      <c r="R5" s="227"/>
      <c r="S5" s="224"/>
      <c r="T5" s="224"/>
      <c r="U5" s="225"/>
      <c r="V5" s="225"/>
      <c r="W5" s="226"/>
      <c r="X5" s="225"/>
      <c r="Y5" s="226"/>
      <c r="Z5" s="226"/>
      <c r="AA5" s="227"/>
      <c r="AB5" s="226"/>
      <c r="AC5" s="228"/>
      <c r="AD5" s="227"/>
      <c r="AE5" s="227"/>
      <c r="AF5" s="221" t="s">
        <v>40</v>
      </c>
      <c r="AG5" s="221" t="s">
        <v>40</v>
      </c>
      <c r="AH5" s="221" t="s">
        <v>42</v>
      </c>
      <c r="AI5" s="221" t="s">
        <v>40</v>
      </c>
      <c r="AJ5" s="221" t="s">
        <v>40</v>
      </c>
      <c r="AK5" s="221" t="s">
        <v>515</v>
      </c>
      <c r="AL5" s="221" t="s">
        <v>40</v>
      </c>
      <c r="AM5" s="221" t="s">
        <v>42</v>
      </c>
      <c r="AN5" s="221" t="s">
        <v>40</v>
      </c>
      <c r="AO5" s="221" t="s">
        <v>40</v>
      </c>
      <c r="AP5" s="221" t="s">
        <v>40</v>
      </c>
      <c r="AQ5" s="229"/>
      <c r="AR5" s="13"/>
      <c r="AS5" s="13"/>
      <c r="AT5" s="13"/>
      <c r="AU5" s="13"/>
      <c r="AV5" s="13"/>
      <c r="AW5" s="13"/>
      <c r="AX5" s="13"/>
      <c r="AY5" s="13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2"/>
      <c r="BL5" s="2"/>
    </row>
    <row r="6" spans="1:64" ht="21.75" customHeight="1">
      <c r="A6" s="8">
        <v>20</v>
      </c>
      <c r="B6" s="8">
        <v>16</v>
      </c>
      <c r="C6" s="62" t="s">
        <v>81</v>
      </c>
      <c r="D6" s="61">
        <v>11</v>
      </c>
      <c r="E6" s="54" t="s">
        <v>2</v>
      </c>
      <c r="F6" s="54"/>
      <c r="G6" s="204">
        <v>1.9591243000000001E-2</v>
      </c>
      <c r="H6" s="146">
        <v>3.7040741000000002E-2</v>
      </c>
      <c r="I6" s="147"/>
      <c r="J6" s="147"/>
      <c r="K6" s="148">
        <v>11</v>
      </c>
      <c r="L6" s="147" t="s">
        <v>60</v>
      </c>
      <c r="M6" s="148" t="s">
        <v>60</v>
      </c>
      <c r="N6" s="154">
        <v>1.2197E-2</v>
      </c>
      <c r="O6" s="154">
        <v>1970.9090000000001</v>
      </c>
      <c r="P6" s="157">
        <v>3.0204851810000002</v>
      </c>
      <c r="Q6" s="158" t="s">
        <v>3</v>
      </c>
      <c r="R6" s="158" t="s">
        <v>3</v>
      </c>
      <c r="S6" s="156"/>
      <c r="T6" s="146"/>
      <c r="U6" s="147"/>
      <c r="V6" s="147"/>
      <c r="W6" s="148"/>
      <c r="X6" s="147"/>
      <c r="Y6" s="148"/>
      <c r="Z6" s="154"/>
      <c r="AA6" s="154"/>
      <c r="AB6" s="148"/>
      <c r="AC6" s="157"/>
      <c r="AD6" s="158"/>
      <c r="AE6" s="158"/>
      <c r="AF6" s="64" t="s">
        <v>17</v>
      </c>
      <c r="AG6" s="64"/>
      <c r="AH6" s="64" t="s">
        <v>17</v>
      </c>
      <c r="AI6" s="64" t="s">
        <v>17</v>
      </c>
      <c r="AJ6" s="64" t="s">
        <v>17</v>
      </c>
      <c r="AK6" s="64"/>
      <c r="AL6" s="64" t="s">
        <v>17</v>
      </c>
      <c r="AM6" s="64"/>
      <c r="AN6" s="64" t="s">
        <v>17</v>
      </c>
      <c r="AO6" s="64" t="s">
        <v>17</v>
      </c>
      <c r="AP6" s="64" t="s">
        <v>17</v>
      </c>
      <c r="AQ6" s="12" t="s">
        <v>17</v>
      </c>
      <c r="AR6" s="12"/>
      <c r="AS6" s="12"/>
      <c r="AT6" s="12"/>
      <c r="AU6" s="12"/>
      <c r="AV6" s="12"/>
      <c r="AW6" s="12"/>
      <c r="AX6" s="12"/>
      <c r="AY6" s="12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2"/>
      <c r="BL6" s="2"/>
    </row>
    <row r="7" spans="1:64" ht="21.75" customHeight="1">
      <c r="A7" s="8">
        <v>1</v>
      </c>
      <c r="B7" s="8">
        <v>4</v>
      </c>
      <c r="C7" s="54" t="s">
        <v>4</v>
      </c>
      <c r="D7" s="61">
        <v>11</v>
      </c>
      <c r="E7" s="54" t="s">
        <v>5</v>
      </c>
      <c r="F7" s="54"/>
      <c r="G7" s="211" t="s">
        <v>502</v>
      </c>
      <c r="H7" s="212" t="s">
        <v>59</v>
      </c>
      <c r="I7" s="212">
        <v>1</v>
      </c>
      <c r="J7" s="212">
        <v>10</v>
      </c>
      <c r="K7" s="159">
        <v>11</v>
      </c>
      <c r="L7" s="159" t="s">
        <v>88</v>
      </c>
      <c r="M7" s="159">
        <v>78.67</v>
      </c>
      <c r="N7" s="159">
        <v>123.49</v>
      </c>
      <c r="O7" s="159">
        <v>120</v>
      </c>
      <c r="P7" s="213" t="s">
        <v>89</v>
      </c>
      <c r="Q7" s="214"/>
      <c r="R7" s="214" t="s">
        <v>90</v>
      </c>
      <c r="S7" s="146"/>
      <c r="T7" s="147"/>
      <c r="U7" s="147"/>
      <c r="V7" s="147"/>
      <c r="W7" s="148"/>
      <c r="X7" s="147"/>
      <c r="Y7" s="148"/>
      <c r="Z7" s="148"/>
      <c r="AA7" s="148"/>
      <c r="AB7" s="148"/>
      <c r="AC7" s="149"/>
      <c r="AD7" s="150"/>
      <c r="AE7" s="150"/>
      <c r="AF7" s="209" t="s">
        <v>40</v>
      </c>
      <c r="AG7" s="209" t="s">
        <v>40</v>
      </c>
      <c r="AH7" s="209" t="s">
        <v>506</v>
      </c>
      <c r="AI7" s="209" t="s">
        <v>40</v>
      </c>
      <c r="AJ7" s="209" t="s">
        <v>40</v>
      </c>
      <c r="AK7" s="209" t="s">
        <v>506</v>
      </c>
      <c r="AL7" s="209" t="s">
        <v>40</v>
      </c>
      <c r="AM7" s="209" t="s">
        <v>506</v>
      </c>
      <c r="AN7" s="209" t="s">
        <v>40</v>
      </c>
      <c r="AO7" s="209" t="s">
        <v>40</v>
      </c>
      <c r="AP7" s="209" t="s">
        <v>40</v>
      </c>
      <c r="AQ7" s="15"/>
      <c r="AR7" s="285" t="s">
        <v>178</v>
      </c>
      <c r="AS7" s="286"/>
      <c r="AT7" s="164" t="s">
        <v>178</v>
      </c>
      <c r="AU7" s="165"/>
      <c r="AV7" s="285" t="s">
        <v>178</v>
      </c>
      <c r="AW7" s="286"/>
      <c r="AX7" s="15"/>
      <c r="AY7" s="15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2"/>
      <c r="BL7" s="2"/>
    </row>
    <row r="8" spans="1:64" ht="21.75" customHeight="1">
      <c r="A8" s="215">
        <v>1</v>
      </c>
      <c r="B8" s="8">
        <v>4</v>
      </c>
      <c r="C8" s="55" t="s">
        <v>491</v>
      </c>
      <c r="D8" s="216">
        <v>11</v>
      </c>
      <c r="E8" s="55" t="s">
        <v>5</v>
      </c>
      <c r="F8" s="55"/>
      <c r="G8" s="217" t="s">
        <v>498</v>
      </c>
      <c r="H8" s="218" t="s">
        <v>59</v>
      </c>
      <c r="I8" s="218">
        <v>1</v>
      </c>
      <c r="J8" s="218">
        <v>10</v>
      </c>
      <c r="K8" s="219" t="s">
        <v>501</v>
      </c>
      <c r="L8" s="219" t="s">
        <v>503</v>
      </c>
      <c r="M8" s="219" t="s">
        <v>499</v>
      </c>
      <c r="N8" s="219" t="s">
        <v>500</v>
      </c>
      <c r="O8" s="219" t="s">
        <v>499</v>
      </c>
      <c r="P8" s="210" t="s">
        <v>492</v>
      </c>
      <c r="Q8" s="220" t="s">
        <v>499</v>
      </c>
      <c r="R8" s="220" t="s">
        <v>499</v>
      </c>
      <c r="S8" s="146"/>
      <c r="T8" s="147"/>
      <c r="U8" s="147"/>
      <c r="V8" s="147"/>
      <c r="W8" s="148"/>
      <c r="X8" s="147"/>
      <c r="Y8" s="148"/>
      <c r="Z8" s="148"/>
      <c r="AA8" s="148"/>
      <c r="AB8" s="148"/>
      <c r="AC8" s="149"/>
      <c r="AD8" s="150"/>
      <c r="AE8" s="150"/>
      <c r="AF8" s="221" t="s">
        <v>40</v>
      </c>
      <c r="AG8" s="221" t="s">
        <v>40</v>
      </c>
      <c r="AH8" s="221" t="s">
        <v>42</v>
      </c>
      <c r="AI8" s="221" t="s">
        <v>42</v>
      </c>
      <c r="AJ8" s="221" t="s">
        <v>40</v>
      </c>
      <c r="AK8" s="221" t="s">
        <v>42</v>
      </c>
      <c r="AL8" s="221" t="s">
        <v>42</v>
      </c>
      <c r="AM8" s="221" t="s">
        <v>42</v>
      </c>
      <c r="AN8" s="221" t="s">
        <v>40</v>
      </c>
      <c r="AO8" s="221" t="s">
        <v>40</v>
      </c>
      <c r="AP8" s="221" t="s">
        <v>40</v>
      </c>
      <c r="AQ8" s="222"/>
      <c r="AR8" s="167"/>
      <c r="AS8" s="168"/>
      <c r="AT8" s="164"/>
      <c r="AU8" s="165"/>
      <c r="AV8" s="167"/>
      <c r="AW8" s="168"/>
      <c r="AX8" s="15"/>
      <c r="AY8" s="15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2"/>
      <c r="BL8" s="2"/>
    </row>
    <row r="9" spans="1:64" ht="21.75" customHeight="1">
      <c r="A9" s="8">
        <v>11</v>
      </c>
      <c r="B9" s="8">
        <v>2</v>
      </c>
      <c r="C9" s="54" t="s">
        <v>76</v>
      </c>
      <c r="D9" s="61">
        <v>47</v>
      </c>
      <c r="E9" s="54" t="s">
        <v>5</v>
      </c>
      <c r="F9" s="54"/>
      <c r="G9" s="204">
        <v>1.8699999999999999E-3</v>
      </c>
      <c r="H9" s="147" t="s">
        <v>59</v>
      </c>
      <c r="I9" s="147">
        <v>8</v>
      </c>
      <c r="J9" s="147"/>
      <c r="K9" s="148">
        <v>47</v>
      </c>
      <c r="L9" s="147">
        <v>47</v>
      </c>
      <c r="M9" s="148" t="s">
        <v>70</v>
      </c>
      <c r="N9" s="148" t="s">
        <v>11</v>
      </c>
      <c r="O9" s="154">
        <v>1250</v>
      </c>
      <c r="P9" s="205" t="s">
        <v>66</v>
      </c>
      <c r="Q9" s="154" t="s">
        <v>66</v>
      </c>
      <c r="R9" s="154" t="s">
        <v>66</v>
      </c>
      <c r="S9" s="156"/>
      <c r="T9" s="147"/>
      <c r="U9" s="147"/>
      <c r="V9" s="147"/>
      <c r="W9" s="148"/>
      <c r="X9" s="147"/>
      <c r="Y9" s="148"/>
      <c r="Z9" s="148"/>
      <c r="AA9" s="154"/>
      <c r="AB9" s="148"/>
      <c r="AC9" s="149"/>
      <c r="AD9" s="154"/>
      <c r="AE9" s="154"/>
      <c r="AF9" s="64" t="s">
        <v>40</v>
      </c>
      <c r="AG9" s="64"/>
      <c r="AH9" s="64" t="s">
        <v>42</v>
      </c>
      <c r="AI9" s="64" t="s">
        <v>42</v>
      </c>
      <c r="AJ9" s="64" t="s">
        <v>42</v>
      </c>
      <c r="AK9" s="64"/>
      <c r="AL9" s="64" t="s">
        <v>40</v>
      </c>
      <c r="AM9" s="64"/>
      <c r="AN9" s="64" t="s">
        <v>40</v>
      </c>
      <c r="AO9" s="64" t="s">
        <v>40</v>
      </c>
      <c r="AP9" s="64" t="s">
        <v>40</v>
      </c>
      <c r="AQ9" s="13"/>
      <c r="AR9" s="13"/>
      <c r="AS9" s="13"/>
      <c r="AT9" s="13"/>
      <c r="AU9" s="13"/>
      <c r="AV9" s="13"/>
      <c r="AW9" s="13"/>
      <c r="AX9" s="13"/>
      <c r="AY9" s="13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2"/>
      <c r="BL9" s="2"/>
    </row>
    <row r="10" spans="1:64" ht="21.75" customHeight="1">
      <c r="A10" s="8">
        <v>13</v>
      </c>
      <c r="B10" s="8">
        <v>5</v>
      </c>
      <c r="C10" s="54" t="s">
        <v>77</v>
      </c>
      <c r="D10" s="61">
        <v>107</v>
      </c>
      <c r="E10" s="54" t="s">
        <v>5</v>
      </c>
      <c r="F10" s="54"/>
      <c r="G10" s="203">
        <v>1.2E-2</v>
      </c>
      <c r="H10" s="161" t="s">
        <v>59</v>
      </c>
      <c r="I10" s="147">
        <v>19</v>
      </c>
      <c r="J10" s="147">
        <v>160</v>
      </c>
      <c r="K10" s="148">
        <v>107</v>
      </c>
      <c r="L10" s="147">
        <v>2</v>
      </c>
      <c r="M10" s="162">
        <v>6.09</v>
      </c>
      <c r="N10" s="158" t="s">
        <v>6</v>
      </c>
      <c r="O10" s="148">
        <v>20.07</v>
      </c>
      <c r="P10" s="205">
        <v>26.97</v>
      </c>
      <c r="Q10" s="154" t="s">
        <v>66</v>
      </c>
      <c r="R10" s="154" t="s">
        <v>66</v>
      </c>
      <c r="S10" s="146"/>
      <c r="T10" s="161"/>
      <c r="U10" s="147"/>
      <c r="V10" s="147"/>
      <c r="W10" s="148"/>
      <c r="X10" s="147"/>
      <c r="Y10" s="162"/>
      <c r="Z10" s="158"/>
      <c r="AA10" s="148"/>
      <c r="AB10" s="148"/>
      <c r="AC10" s="149"/>
      <c r="AD10" s="154"/>
      <c r="AE10" s="154"/>
      <c r="AF10" s="64" t="s">
        <v>40</v>
      </c>
      <c r="AG10" s="64"/>
      <c r="AH10" s="64" t="s">
        <v>40</v>
      </c>
      <c r="AI10" s="64" t="s">
        <v>42</v>
      </c>
      <c r="AJ10" s="64" t="s">
        <v>42</v>
      </c>
      <c r="AK10" s="64"/>
      <c r="AL10" s="64" t="s">
        <v>40</v>
      </c>
      <c r="AM10" s="64"/>
      <c r="AN10" s="64" t="s">
        <v>40</v>
      </c>
      <c r="AO10" s="64" t="s">
        <v>40</v>
      </c>
      <c r="AP10" s="64" t="s">
        <v>40</v>
      </c>
      <c r="AQ10" s="13" t="s">
        <v>103</v>
      </c>
      <c r="AR10" s="13"/>
      <c r="AS10" s="13"/>
      <c r="AT10" s="13"/>
      <c r="AU10" s="13"/>
      <c r="AV10" s="13"/>
      <c r="AW10" s="13"/>
      <c r="AX10" s="13"/>
      <c r="AY10" s="13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2"/>
      <c r="BL10" s="2"/>
    </row>
    <row r="11" spans="1:64" ht="21.75" customHeight="1">
      <c r="A11" s="8">
        <v>9</v>
      </c>
      <c r="B11" s="10">
        <v>9</v>
      </c>
      <c r="C11" s="2" t="s">
        <v>97</v>
      </c>
      <c r="D11" s="61">
        <v>1</v>
      </c>
      <c r="E11" s="178" t="s">
        <v>19</v>
      </c>
      <c r="F11" s="178"/>
      <c r="G11" s="203">
        <v>7.0000000000000007E-2</v>
      </c>
      <c r="H11" s="146">
        <v>0.15</v>
      </c>
      <c r="I11" s="147">
        <v>1</v>
      </c>
      <c r="J11" s="147"/>
      <c r="K11" s="148">
        <v>1</v>
      </c>
      <c r="L11" s="147">
        <v>0</v>
      </c>
      <c r="M11" s="148" t="s">
        <v>67</v>
      </c>
      <c r="N11" s="158" t="s">
        <v>3</v>
      </c>
      <c r="O11" s="148">
        <v>2.25</v>
      </c>
      <c r="P11" s="149">
        <v>4.75</v>
      </c>
      <c r="Q11" s="154" t="s">
        <v>98</v>
      </c>
      <c r="R11" s="154" t="s">
        <v>99</v>
      </c>
      <c r="S11" s="146"/>
      <c r="T11" s="146"/>
      <c r="U11" s="147"/>
      <c r="V11" s="147"/>
      <c r="W11" s="148"/>
      <c r="X11" s="147"/>
      <c r="Y11" s="148"/>
      <c r="Z11" s="158"/>
      <c r="AA11" s="148"/>
      <c r="AB11" s="148"/>
      <c r="AC11" s="149"/>
      <c r="AD11" s="154"/>
      <c r="AE11" s="154"/>
      <c r="AF11" s="64" t="s">
        <v>40</v>
      </c>
      <c r="AG11" s="64"/>
      <c r="AH11" s="65" t="s">
        <v>41</v>
      </c>
      <c r="AI11" s="64" t="s">
        <v>40</v>
      </c>
      <c r="AJ11" s="64" t="s">
        <v>41</v>
      </c>
      <c r="AK11" s="64"/>
      <c r="AL11" s="64" t="s">
        <v>40</v>
      </c>
      <c r="AM11" s="64"/>
      <c r="AN11" s="64" t="s">
        <v>40</v>
      </c>
      <c r="AO11" s="64" t="s">
        <v>40</v>
      </c>
      <c r="AP11" s="65" t="s">
        <v>42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2"/>
      <c r="BL11" s="2"/>
    </row>
    <row r="12" spans="1:64" ht="21.75" customHeight="1">
      <c r="A12" s="8">
        <v>22</v>
      </c>
      <c r="B12" s="60">
        <v>8</v>
      </c>
      <c r="C12" s="55" t="s">
        <v>79</v>
      </c>
      <c r="D12" s="61">
        <v>6</v>
      </c>
      <c r="E12" s="54" t="s">
        <v>19</v>
      </c>
      <c r="F12" s="54"/>
      <c r="G12" s="203">
        <v>0.06</v>
      </c>
      <c r="H12" s="146">
        <v>0.06</v>
      </c>
      <c r="I12" s="147"/>
      <c r="J12" s="147"/>
      <c r="K12" s="148">
        <v>6</v>
      </c>
      <c r="L12" s="147">
        <v>2</v>
      </c>
      <c r="M12" s="148" t="s">
        <v>67</v>
      </c>
      <c r="N12" s="158" t="s">
        <v>3</v>
      </c>
      <c r="O12" s="148">
        <v>1.25</v>
      </c>
      <c r="P12" s="149">
        <v>3.75</v>
      </c>
      <c r="Q12" s="154" t="s">
        <v>68</v>
      </c>
      <c r="R12" s="154" t="s">
        <v>69</v>
      </c>
      <c r="S12" s="146"/>
      <c r="T12" s="146"/>
      <c r="U12" s="147"/>
      <c r="V12" s="147"/>
      <c r="W12" s="148"/>
      <c r="X12" s="147"/>
      <c r="Y12" s="148"/>
      <c r="Z12" s="158"/>
      <c r="AA12" s="148"/>
      <c r="AB12" s="148"/>
      <c r="AC12" s="149"/>
      <c r="AD12" s="154"/>
      <c r="AE12" s="154"/>
      <c r="AF12" s="64" t="s">
        <v>40</v>
      </c>
      <c r="AG12" s="64"/>
      <c r="AH12" s="8"/>
      <c r="AI12" s="64" t="s">
        <v>40</v>
      </c>
      <c r="AJ12" s="8"/>
      <c r="AK12" s="8"/>
      <c r="AL12" s="64" t="s">
        <v>40</v>
      </c>
      <c r="AM12" s="64"/>
      <c r="AN12" s="64" t="s">
        <v>40</v>
      </c>
      <c r="AO12" s="64" t="s">
        <v>40</v>
      </c>
      <c r="AP12" s="65" t="s">
        <v>42</v>
      </c>
      <c r="AQ12" s="13" t="s">
        <v>43</v>
      </c>
      <c r="AR12" s="13"/>
      <c r="AS12" s="13"/>
      <c r="AT12" s="13"/>
      <c r="AU12" s="13"/>
      <c r="AV12" s="13"/>
      <c r="AW12" s="13"/>
      <c r="AX12" s="13"/>
      <c r="AY12" s="13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2"/>
      <c r="BL12" s="2"/>
    </row>
    <row r="13" spans="1:64" ht="21.75" customHeight="1">
      <c r="A13" s="8">
        <v>4</v>
      </c>
      <c r="B13" s="10">
        <v>7</v>
      </c>
      <c r="C13" s="54" t="s">
        <v>138</v>
      </c>
      <c r="D13" s="61">
        <v>16</v>
      </c>
      <c r="E13" s="54" t="s">
        <v>113</v>
      </c>
      <c r="F13" s="54"/>
      <c r="G13" s="203">
        <v>1.3010000000000001E-2</v>
      </c>
      <c r="H13" s="147" t="s">
        <v>59</v>
      </c>
      <c r="I13" s="147">
        <v>3</v>
      </c>
      <c r="J13" s="147">
        <v>13</v>
      </c>
      <c r="K13" s="148">
        <v>16</v>
      </c>
      <c r="L13" s="147" t="s">
        <v>100</v>
      </c>
      <c r="M13" s="148" t="s">
        <v>58</v>
      </c>
      <c r="N13" s="148">
        <v>6.23</v>
      </c>
      <c r="O13" s="148">
        <f>0.03+0.031</f>
        <v>6.0999999999999999E-2</v>
      </c>
      <c r="P13" s="206">
        <v>0.18599292038015799</v>
      </c>
      <c r="Q13" s="154"/>
      <c r="R13" s="154"/>
      <c r="S13" s="146"/>
      <c r="T13" s="147"/>
      <c r="U13" s="147"/>
      <c r="V13" s="147"/>
      <c r="W13" s="148"/>
      <c r="X13" s="147"/>
      <c r="Y13" s="148"/>
      <c r="Z13" s="148"/>
      <c r="AA13" s="148"/>
      <c r="AB13" s="148"/>
      <c r="AC13" s="155"/>
      <c r="AD13" s="154"/>
      <c r="AE13" s="154"/>
      <c r="AF13" s="64" t="s">
        <v>40</v>
      </c>
      <c r="AG13" s="64"/>
      <c r="AH13" s="64" t="s">
        <v>40</v>
      </c>
      <c r="AI13" s="64" t="s">
        <v>42</v>
      </c>
      <c r="AJ13" s="64" t="s">
        <v>42</v>
      </c>
      <c r="AK13" s="64"/>
      <c r="AL13" s="61" t="s">
        <v>41</v>
      </c>
      <c r="AM13" s="61"/>
      <c r="AN13" s="64" t="s">
        <v>40</v>
      </c>
      <c r="AO13" s="64" t="s">
        <v>40</v>
      </c>
      <c r="AP13" s="64" t="s">
        <v>40</v>
      </c>
      <c r="AQ13" s="13" t="s">
        <v>101</v>
      </c>
      <c r="AR13" s="13"/>
      <c r="AS13" s="13"/>
      <c r="AT13" s="13"/>
      <c r="AU13" s="13"/>
      <c r="AV13" s="13"/>
      <c r="AW13" s="13"/>
      <c r="AX13" s="13"/>
      <c r="AY13" s="13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2"/>
      <c r="BL13" s="2"/>
    </row>
    <row r="14" spans="1:64" ht="21.75" customHeight="1">
      <c r="A14" s="8">
        <v>5</v>
      </c>
      <c r="B14" s="49">
        <v>6</v>
      </c>
      <c r="C14" s="63" t="s">
        <v>78</v>
      </c>
      <c r="D14" s="61">
        <v>78</v>
      </c>
      <c r="E14" s="54" t="s">
        <v>113</v>
      </c>
      <c r="F14" s="54"/>
      <c r="G14" s="203">
        <v>6.6360000000000002E-2</v>
      </c>
      <c r="H14" s="147" t="s">
        <v>59</v>
      </c>
      <c r="I14" s="147">
        <v>20</v>
      </c>
      <c r="J14" s="147">
        <v>58</v>
      </c>
      <c r="K14" s="148">
        <v>78</v>
      </c>
      <c r="L14" s="147" t="s">
        <v>58</v>
      </c>
      <c r="M14" s="148" t="s">
        <v>58</v>
      </c>
      <c r="N14" s="148">
        <v>65</v>
      </c>
      <c r="O14" s="148">
        <v>391.96</v>
      </c>
      <c r="P14" s="206">
        <v>14.66</v>
      </c>
      <c r="Q14" s="154"/>
      <c r="R14" s="154"/>
      <c r="S14" s="146"/>
      <c r="T14" s="147"/>
      <c r="U14" s="147"/>
      <c r="V14" s="147"/>
      <c r="W14" s="148"/>
      <c r="X14" s="147"/>
      <c r="Y14" s="148"/>
      <c r="Z14" s="148"/>
      <c r="AA14" s="148"/>
      <c r="AB14" s="148"/>
      <c r="AC14" s="155"/>
      <c r="AD14" s="154"/>
      <c r="AE14" s="154"/>
      <c r="AF14" s="64" t="s">
        <v>40</v>
      </c>
      <c r="AG14" s="64"/>
      <c r="AH14" s="64" t="s">
        <v>40</v>
      </c>
      <c r="AI14" s="64" t="s">
        <v>42</v>
      </c>
      <c r="AJ14" s="64" t="s">
        <v>42</v>
      </c>
      <c r="AK14" s="64"/>
      <c r="AL14" s="61" t="s">
        <v>41</v>
      </c>
      <c r="AM14" s="61"/>
      <c r="AN14" s="64" t="s">
        <v>40</v>
      </c>
      <c r="AO14" s="64" t="s">
        <v>42</v>
      </c>
      <c r="AP14" s="64" t="s">
        <v>40</v>
      </c>
      <c r="AQ14" s="5" t="s">
        <v>47</v>
      </c>
      <c r="AR14" s="5"/>
      <c r="AS14" s="5"/>
      <c r="AT14" s="5"/>
      <c r="AU14" s="5"/>
      <c r="AV14" s="5"/>
      <c r="AW14" s="5"/>
      <c r="AX14" s="5"/>
      <c r="AY14" s="5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2"/>
      <c r="BL14" s="2"/>
    </row>
    <row r="15" spans="1:64" ht="21.75" customHeight="1">
      <c r="A15" s="8">
        <v>7</v>
      </c>
      <c r="B15" s="8">
        <v>10</v>
      </c>
      <c r="C15" s="54" t="s">
        <v>15</v>
      </c>
      <c r="D15" s="61">
        <v>6</v>
      </c>
      <c r="E15" s="54" t="s">
        <v>82</v>
      </c>
      <c r="F15" s="54"/>
      <c r="G15" s="203">
        <v>9.99701E-6</v>
      </c>
      <c r="H15" s="147" t="s">
        <v>59</v>
      </c>
      <c r="I15" s="147">
        <v>1</v>
      </c>
      <c r="J15" s="147">
        <v>0</v>
      </c>
      <c r="K15" s="148">
        <v>6</v>
      </c>
      <c r="L15" s="147">
        <v>0</v>
      </c>
      <c r="M15" s="148">
        <v>0</v>
      </c>
      <c r="N15" s="148" t="s">
        <v>11</v>
      </c>
      <c r="O15" s="154">
        <v>0.15962999999999999</v>
      </c>
      <c r="P15" s="157">
        <v>3.347</v>
      </c>
      <c r="Q15" s="154" t="s">
        <v>66</v>
      </c>
      <c r="R15" s="154" t="s">
        <v>66</v>
      </c>
      <c r="S15" s="146"/>
      <c r="T15" s="147"/>
      <c r="U15" s="147"/>
      <c r="V15" s="147"/>
      <c r="W15" s="148"/>
      <c r="X15" s="147"/>
      <c r="Y15" s="148"/>
      <c r="Z15" s="148"/>
      <c r="AA15" s="154"/>
      <c r="AB15" s="148"/>
      <c r="AC15" s="157"/>
      <c r="AD15" s="154"/>
      <c r="AE15" s="154"/>
      <c r="AF15" s="64" t="s">
        <v>40</v>
      </c>
      <c r="AG15" s="64"/>
      <c r="AH15" s="64" t="s">
        <v>40</v>
      </c>
      <c r="AI15" s="64" t="s">
        <v>42</v>
      </c>
      <c r="AJ15" s="64" t="s">
        <v>42</v>
      </c>
      <c r="AK15" s="64"/>
      <c r="AL15" s="64" t="s">
        <v>42</v>
      </c>
      <c r="AM15" s="64"/>
      <c r="AN15" s="64" t="s">
        <v>40</v>
      </c>
      <c r="AO15" s="64" t="s">
        <v>42</v>
      </c>
      <c r="AP15" s="64" t="s">
        <v>40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2"/>
      <c r="BL15" s="2"/>
    </row>
    <row r="16" spans="1:64" ht="21.75" customHeight="1">
      <c r="A16" s="8">
        <v>2</v>
      </c>
      <c r="B16" s="8">
        <v>12</v>
      </c>
      <c r="C16" s="2" t="s">
        <v>8</v>
      </c>
      <c r="D16" s="61">
        <v>33</v>
      </c>
      <c r="E16" s="54" t="s">
        <v>82</v>
      </c>
      <c r="F16" s="54"/>
      <c r="G16" s="203">
        <v>0.02</v>
      </c>
      <c r="H16" s="147" t="s">
        <v>61</v>
      </c>
      <c r="I16" s="147">
        <v>2</v>
      </c>
      <c r="J16" s="147">
        <v>28</v>
      </c>
      <c r="K16" s="148">
        <v>33</v>
      </c>
      <c r="L16" s="151" t="s">
        <v>92</v>
      </c>
      <c r="M16" s="152">
        <v>187</v>
      </c>
      <c r="N16" s="148">
        <v>70</v>
      </c>
      <c r="O16" s="153">
        <v>70</v>
      </c>
      <c r="P16" s="149">
        <v>5.4</v>
      </c>
      <c r="Q16" s="154" t="s">
        <v>62</v>
      </c>
      <c r="R16" s="154" t="s">
        <v>63</v>
      </c>
      <c r="S16" s="146"/>
      <c r="T16" s="147"/>
      <c r="U16" s="147"/>
      <c r="V16" s="147"/>
      <c r="W16" s="148"/>
      <c r="X16" s="151"/>
      <c r="Y16" s="152"/>
      <c r="Z16" s="148"/>
      <c r="AA16" s="153"/>
      <c r="AB16" s="148"/>
      <c r="AC16" s="149"/>
      <c r="AD16" s="154"/>
      <c r="AE16" s="154"/>
      <c r="AF16" s="64" t="s">
        <v>40</v>
      </c>
      <c r="AG16" s="64"/>
      <c r="AH16" s="64" t="s">
        <v>40</v>
      </c>
      <c r="AI16" s="64" t="s">
        <v>42</v>
      </c>
      <c r="AJ16" s="64" t="s">
        <v>42</v>
      </c>
      <c r="AK16" s="64"/>
      <c r="AL16" s="64" t="s">
        <v>41</v>
      </c>
      <c r="AM16" s="64"/>
      <c r="AN16" s="64" t="s">
        <v>40</v>
      </c>
      <c r="AO16" s="64" t="s">
        <v>42</v>
      </c>
      <c r="AP16" s="64" t="s">
        <v>40</v>
      </c>
      <c r="AQ16" s="59" t="s">
        <v>94</v>
      </c>
      <c r="AR16" s="59"/>
      <c r="AS16" s="59"/>
      <c r="AT16" s="59"/>
      <c r="AU16" s="59"/>
      <c r="AV16" s="59"/>
      <c r="AW16" s="59"/>
      <c r="AX16" s="59"/>
      <c r="AY16" s="59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2"/>
      <c r="BL16" s="2"/>
    </row>
    <row r="17" spans="1:64" ht="21.75" customHeight="1">
      <c r="A17" s="8">
        <v>3</v>
      </c>
      <c r="B17" s="8">
        <v>13</v>
      </c>
      <c r="C17" s="2" t="s">
        <v>9</v>
      </c>
      <c r="D17" s="61">
        <v>21</v>
      </c>
      <c r="E17" s="54" t="s">
        <v>82</v>
      </c>
      <c r="F17" s="54"/>
      <c r="G17" s="203">
        <v>0.06</v>
      </c>
      <c r="H17" s="147" t="s">
        <v>61</v>
      </c>
      <c r="I17" s="147">
        <v>2</v>
      </c>
      <c r="J17" s="147">
        <v>17</v>
      </c>
      <c r="K17" s="148">
        <v>21</v>
      </c>
      <c r="L17" s="151" t="s">
        <v>93</v>
      </c>
      <c r="M17" s="152">
        <v>54</v>
      </c>
      <c r="N17" s="148">
        <v>426</v>
      </c>
      <c r="O17" s="153">
        <v>52</v>
      </c>
      <c r="P17" s="149">
        <v>19.400653399999999</v>
      </c>
      <c r="Q17" s="154" t="s">
        <v>64</v>
      </c>
      <c r="R17" s="154" t="s">
        <v>65</v>
      </c>
      <c r="S17" s="146"/>
      <c r="T17" s="147"/>
      <c r="U17" s="147"/>
      <c r="V17" s="147"/>
      <c r="W17" s="148"/>
      <c r="X17" s="151"/>
      <c r="Y17" s="152"/>
      <c r="Z17" s="148"/>
      <c r="AA17" s="153"/>
      <c r="AB17" s="148"/>
      <c r="AC17" s="149"/>
      <c r="AD17" s="154"/>
      <c r="AE17" s="154"/>
      <c r="AF17" s="64" t="s">
        <v>40</v>
      </c>
      <c r="AG17" s="64"/>
      <c r="AH17" s="64" t="s">
        <v>40</v>
      </c>
      <c r="AI17" s="64" t="s">
        <v>42</v>
      </c>
      <c r="AJ17" s="64" t="s">
        <v>42</v>
      </c>
      <c r="AK17" s="64"/>
      <c r="AL17" s="64" t="s">
        <v>41</v>
      </c>
      <c r="AM17" s="64"/>
      <c r="AN17" s="64" t="s">
        <v>40</v>
      </c>
      <c r="AO17" s="64" t="s">
        <v>42</v>
      </c>
      <c r="AP17" s="64" t="s">
        <v>40</v>
      </c>
      <c r="AQ17" s="59" t="s">
        <v>94</v>
      </c>
      <c r="AR17" s="287" t="s">
        <v>183</v>
      </c>
      <c r="AS17" s="288"/>
      <c r="AT17" s="288"/>
      <c r="AU17" s="289"/>
      <c r="AV17" s="59"/>
      <c r="AW17" s="59"/>
      <c r="AX17" s="285" t="s">
        <v>182</v>
      </c>
      <c r="AY17" s="286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2"/>
      <c r="BL17" s="2"/>
    </row>
    <row r="18" spans="1:64" ht="21.75" customHeight="1">
      <c r="A18" s="8">
        <v>6</v>
      </c>
      <c r="B18" s="10">
        <v>15</v>
      </c>
      <c r="C18" s="54" t="s">
        <v>102</v>
      </c>
      <c r="D18" s="61">
        <v>43</v>
      </c>
      <c r="E18" s="54" t="s">
        <v>14</v>
      </c>
      <c r="F18" s="54"/>
      <c r="G18" s="204">
        <v>1.4999999999999999E-2</v>
      </c>
      <c r="H18" s="147" t="s">
        <v>59</v>
      </c>
      <c r="I18" s="147">
        <v>3</v>
      </c>
      <c r="J18" s="147">
        <v>76</v>
      </c>
      <c r="K18" s="148">
        <v>43</v>
      </c>
      <c r="L18" s="147">
        <v>33</v>
      </c>
      <c r="M18" s="148">
        <v>111.9</v>
      </c>
      <c r="N18" s="148" t="s">
        <v>11</v>
      </c>
      <c r="O18" s="154">
        <v>181.6</v>
      </c>
      <c r="P18" s="157">
        <v>4.53</v>
      </c>
      <c r="Q18" s="154" t="s">
        <v>66</v>
      </c>
      <c r="R18" s="154" t="s">
        <v>66</v>
      </c>
      <c r="S18" s="156"/>
      <c r="T18" s="147"/>
      <c r="U18" s="147"/>
      <c r="V18" s="147"/>
      <c r="W18" s="148"/>
      <c r="X18" s="147"/>
      <c r="Y18" s="148"/>
      <c r="Z18" s="148"/>
      <c r="AA18" s="154"/>
      <c r="AB18" s="148"/>
      <c r="AC18" s="157"/>
      <c r="AD18" s="154"/>
      <c r="AE18" s="154"/>
      <c r="AF18" s="64" t="s">
        <v>40</v>
      </c>
      <c r="AG18" s="64"/>
      <c r="AH18" s="64" t="s">
        <v>40</v>
      </c>
      <c r="AI18" s="64" t="s">
        <v>42</v>
      </c>
      <c r="AJ18" s="64" t="s">
        <v>40</v>
      </c>
      <c r="AK18" s="64"/>
      <c r="AL18" s="61" t="s">
        <v>41</v>
      </c>
      <c r="AM18" s="61"/>
      <c r="AN18" s="64" t="s">
        <v>40</v>
      </c>
      <c r="AO18" s="64" t="s">
        <v>40</v>
      </c>
      <c r="AP18" s="64" t="s">
        <v>40</v>
      </c>
      <c r="AQ18" s="13" t="s">
        <v>141</v>
      </c>
      <c r="AR18" s="13"/>
      <c r="AS18" s="13"/>
      <c r="AT18" s="13"/>
      <c r="AU18" s="13"/>
      <c r="AV18" s="13"/>
      <c r="AW18" s="13"/>
      <c r="AX18" s="13"/>
      <c r="AY18" s="13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2"/>
      <c r="BL18" s="2"/>
    </row>
    <row r="19" spans="1:64" ht="21.75" customHeight="1">
      <c r="A19" s="8">
        <v>8</v>
      </c>
      <c r="B19" s="10">
        <v>11</v>
      </c>
      <c r="C19" s="54" t="s">
        <v>16</v>
      </c>
      <c r="D19" s="61">
        <v>19</v>
      </c>
      <c r="E19" s="54" t="s">
        <v>14</v>
      </c>
      <c r="F19" s="54"/>
      <c r="G19" s="204">
        <v>1.44E-4</v>
      </c>
      <c r="H19" s="147" t="s">
        <v>59</v>
      </c>
      <c r="I19" s="147"/>
      <c r="J19" s="147"/>
      <c r="K19" s="148">
        <v>19</v>
      </c>
      <c r="L19" s="147">
        <v>7</v>
      </c>
      <c r="M19" s="148">
        <v>3.87</v>
      </c>
      <c r="N19" s="148" t="s">
        <v>11</v>
      </c>
      <c r="O19" s="154">
        <v>6.08</v>
      </c>
      <c r="P19" s="157">
        <v>1.8000000000000001E-4</v>
      </c>
      <c r="Q19" s="154"/>
      <c r="R19" s="154"/>
      <c r="S19" s="156"/>
      <c r="T19" s="147"/>
      <c r="U19" s="147"/>
      <c r="V19" s="147"/>
      <c r="W19" s="148"/>
      <c r="X19" s="147"/>
      <c r="Y19" s="148"/>
      <c r="Z19" s="148"/>
      <c r="AA19" s="154"/>
      <c r="AB19" s="148"/>
      <c r="AC19" s="157"/>
      <c r="AD19" s="154"/>
      <c r="AE19" s="154"/>
      <c r="AF19" s="64" t="s">
        <v>40</v>
      </c>
      <c r="AG19" s="64"/>
      <c r="AH19" s="8" t="s">
        <v>41</v>
      </c>
      <c r="AI19" s="8" t="s">
        <v>41</v>
      </c>
      <c r="AJ19" s="64" t="s">
        <v>40</v>
      </c>
      <c r="AK19" s="64"/>
      <c r="AL19" s="64" t="s">
        <v>40</v>
      </c>
      <c r="AM19" s="64"/>
      <c r="AN19" s="8" t="s">
        <v>41</v>
      </c>
      <c r="AO19" s="8" t="s">
        <v>41</v>
      </c>
      <c r="AP19" s="8" t="s">
        <v>41</v>
      </c>
      <c r="AQ19" s="16"/>
      <c r="AR19" s="16"/>
      <c r="AS19" s="16"/>
      <c r="AT19" s="16"/>
      <c r="AU19" s="16"/>
      <c r="AV19" s="16"/>
      <c r="AW19" s="16"/>
      <c r="AX19" s="16"/>
      <c r="AY19" s="16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2"/>
      <c r="BL19" s="2"/>
    </row>
    <row r="20" spans="1:64" ht="21.75" customHeight="1">
      <c r="A20" s="8">
        <v>12</v>
      </c>
      <c r="B20" s="8">
        <v>14</v>
      </c>
      <c r="C20" s="54" t="s">
        <v>80</v>
      </c>
      <c r="D20" s="61">
        <v>15</v>
      </c>
      <c r="E20" s="54" t="s">
        <v>14</v>
      </c>
      <c r="F20" s="54"/>
      <c r="G20" s="204">
        <v>1.4999999999999999E-2</v>
      </c>
      <c r="H20" s="147" t="s">
        <v>59</v>
      </c>
      <c r="I20" s="147"/>
      <c r="J20" s="147"/>
      <c r="K20" s="148">
        <v>15</v>
      </c>
      <c r="L20" s="147">
        <v>15</v>
      </c>
      <c r="M20" s="148" t="s">
        <v>95</v>
      </c>
      <c r="N20" s="159">
        <v>13</v>
      </c>
      <c r="O20" s="160">
        <v>13</v>
      </c>
      <c r="P20" s="149" t="s">
        <v>66</v>
      </c>
      <c r="Q20" s="154" t="s">
        <v>66</v>
      </c>
      <c r="R20" s="154" t="s">
        <v>66</v>
      </c>
      <c r="S20" s="156"/>
      <c r="T20" s="147"/>
      <c r="U20" s="147"/>
      <c r="V20" s="147"/>
      <c r="W20" s="148"/>
      <c r="X20" s="147"/>
      <c r="Y20" s="148"/>
      <c r="Z20" s="159"/>
      <c r="AA20" s="160"/>
      <c r="AB20" s="148"/>
      <c r="AC20" s="149"/>
      <c r="AD20" s="154"/>
      <c r="AE20" s="154"/>
      <c r="AF20" s="66" t="s">
        <v>40</v>
      </c>
      <c r="AG20" s="66"/>
      <c r="AH20" s="66" t="s">
        <v>42</v>
      </c>
      <c r="AI20" s="66" t="s">
        <v>42</v>
      </c>
      <c r="AJ20" s="66" t="s">
        <v>42</v>
      </c>
      <c r="AK20" s="66"/>
      <c r="AL20" s="66" t="s">
        <v>40</v>
      </c>
      <c r="AM20" s="66"/>
      <c r="AN20" s="66" t="s">
        <v>41</v>
      </c>
      <c r="AO20" s="66" t="s">
        <v>42</v>
      </c>
      <c r="AP20" s="66" t="s">
        <v>42</v>
      </c>
      <c r="AQ20" s="58" t="s">
        <v>96</v>
      </c>
      <c r="AR20" s="58"/>
      <c r="AS20" s="58"/>
      <c r="AT20" s="58"/>
      <c r="AU20" s="58"/>
      <c r="AV20" s="58"/>
      <c r="AW20" s="58"/>
      <c r="AX20" s="58"/>
      <c r="AY20" s="58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2"/>
      <c r="BL20" s="2"/>
    </row>
    <row r="21" spans="1:64" ht="21.75" customHeight="1">
      <c r="A21" s="8">
        <v>21</v>
      </c>
      <c r="B21" s="10">
        <v>17</v>
      </c>
      <c r="C21" s="62" t="s">
        <v>23</v>
      </c>
      <c r="D21" s="61">
        <v>6</v>
      </c>
      <c r="E21" s="54" t="s">
        <v>14</v>
      </c>
      <c r="F21" s="54"/>
      <c r="G21" s="204">
        <v>8.8999999999999999E-3</v>
      </c>
      <c r="H21" s="147" t="s">
        <v>59</v>
      </c>
      <c r="I21" s="147"/>
      <c r="J21" s="147"/>
      <c r="K21" s="148">
        <v>6</v>
      </c>
      <c r="L21" s="147">
        <v>61</v>
      </c>
      <c r="M21" s="148" t="s">
        <v>58</v>
      </c>
      <c r="N21" s="154">
        <v>0.05</v>
      </c>
      <c r="O21" s="154">
        <v>163.6</v>
      </c>
      <c r="P21" s="149">
        <v>2.617</v>
      </c>
      <c r="Q21" s="154" t="s">
        <v>71</v>
      </c>
      <c r="R21" s="154" t="s">
        <v>72</v>
      </c>
      <c r="S21" s="156"/>
      <c r="T21" s="147"/>
      <c r="U21" s="147"/>
      <c r="V21" s="147"/>
      <c r="W21" s="148"/>
      <c r="X21" s="147"/>
      <c r="Y21" s="148"/>
      <c r="Z21" s="154"/>
      <c r="AA21" s="154"/>
      <c r="AB21" s="148"/>
      <c r="AC21" s="149"/>
      <c r="AD21" s="154"/>
      <c r="AE21" s="154"/>
      <c r="AF21" s="64" t="s">
        <v>40</v>
      </c>
      <c r="AG21" s="64"/>
      <c r="AH21" s="64" t="s">
        <v>40</v>
      </c>
      <c r="AI21" s="64" t="s">
        <v>42</v>
      </c>
      <c r="AJ21" s="64" t="s">
        <v>42</v>
      </c>
      <c r="AK21" s="64"/>
      <c r="AL21" s="61" t="s">
        <v>41</v>
      </c>
      <c r="AM21" s="61"/>
      <c r="AN21" s="64" t="s">
        <v>42</v>
      </c>
      <c r="AO21" s="64" t="s">
        <v>42</v>
      </c>
      <c r="AP21" s="64" t="s">
        <v>44</v>
      </c>
      <c r="AQ21" s="13" t="s">
        <v>45</v>
      </c>
      <c r="AR21" s="13"/>
      <c r="AS21" s="13"/>
      <c r="AT21" s="13"/>
      <c r="AU21" s="13"/>
      <c r="AV21" s="13"/>
      <c r="AW21" s="13"/>
      <c r="AX21" s="13"/>
      <c r="AY21" s="13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2"/>
      <c r="BL21" s="2"/>
    </row>
    <row r="22" spans="1:64" ht="15">
      <c r="D22" s="74">
        <f>SUM(D7:D21)</f>
        <v>420</v>
      </c>
      <c r="E22" s="56"/>
      <c r="F22" s="24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2"/>
      <c r="BK22" s="2"/>
      <c r="BL22" s="2"/>
    </row>
    <row r="23" spans="1:64" ht="15" customHeight="1">
      <c r="D23" s="9"/>
      <c r="E23" s="9"/>
      <c r="F23" s="9"/>
    </row>
    <row r="24" spans="1:64" ht="15" customHeight="1">
      <c r="D24" s="9"/>
      <c r="E24" s="9"/>
      <c r="F24" s="9"/>
    </row>
    <row r="25" spans="1:64" ht="241.5" customHeight="1">
      <c r="D25" s="9"/>
      <c r="E25" s="9"/>
      <c r="F25" s="9"/>
      <c r="K25" t="s">
        <v>158</v>
      </c>
      <c r="M25" t="s">
        <v>159</v>
      </c>
    </row>
    <row r="26" spans="1:64" ht="47.25">
      <c r="H26" t="s">
        <v>179</v>
      </c>
      <c r="K26" s="14" t="s">
        <v>84</v>
      </c>
      <c r="M26" s="14" t="s">
        <v>84</v>
      </c>
    </row>
    <row r="27" spans="1:64" ht="47.25">
      <c r="H27" t="s">
        <v>179</v>
      </c>
      <c r="K27" s="7" t="s">
        <v>48</v>
      </c>
      <c r="M27" s="7" t="s">
        <v>48</v>
      </c>
    </row>
    <row r="28" spans="1:64" ht="72" customHeight="1">
      <c r="M28" s="7" t="s">
        <v>55</v>
      </c>
    </row>
    <row r="31" spans="1:64" ht="143.25" customHeight="1"/>
    <row r="38" ht="179.25" customHeight="1"/>
    <row r="42" ht="119.25" customHeight="1"/>
  </sheetData>
  <autoFilter ref="A3:BJ22" xr:uid="{5576737E-AC9C-40AE-BA89-3B3B4FB89954}">
    <sortState xmlns:xlrd2="http://schemas.microsoft.com/office/spreadsheetml/2017/richdata2" ref="A4:BJ22">
      <sortCondition ref="A3"/>
    </sortState>
  </autoFilter>
  <mergeCells count="12">
    <mergeCell ref="G2:R2"/>
    <mergeCell ref="AF2:AQ2"/>
    <mergeCell ref="AZ2:BD2"/>
    <mergeCell ref="BE2:BI2"/>
    <mergeCell ref="BJ2:BL2"/>
    <mergeCell ref="S2:AE2"/>
    <mergeCell ref="AZ1:BI1"/>
    <mergeCell ref="AR2:AY2"/>
    <mergeCell ref="AR7:AS7"/>
    <mergeCell ref="AV7:AW7"/>
    <mergeCell ref="AX17:AY17"/>
    <mergeCell ref="AR17:AU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5921-0C06-44B2-8E46-B590211C0DE8}">
  <dimension ref="A1:Q26"/>
  <sheetViews>
    <sheetView topLeftCell="A10" zoomScale="85" zoomScaleNormal="85" workbookViewId="0">
      <selection activeCell="A32" sqref="A32:XFD35"/>
    </sheetView>
  </sheetViews>
  <sheetFormatPr baseColWidth="10" defaultRowHeight="14.25"/>
  <cols>
    <col min="1" max="1" width="22.875" customWidth="1"/>
    <col min="2" max="2" width="48.375" customWidth="1"/>
    <col min="3" max="4" width="44.625" customWidth="1"/>
    <col min="5" max="5" width="92.75" customWidth="1"/>
    <col min="6" max="6" width="33" customWidth="1"/>
    <col min="7" max="7" width="50.25" customWidth="1"/>
    <col min="8" max="9" width="10.125" bestFit="1" customWidth="1"/>
    <col min="10" max="10" width="11.25" bestFit="1" customWidth="1"/>
    <col min="12" max="12" width="16.625" customWidth="1"/>
  </cols>
  <sheetData>
    <row r="1" spans="1:7" ht="15.75">
      <c r="A1" s="296" t="s">
        <v>39</v>
      </c>
      <c r="B1" s="166" t="s">
        <v>216</v>
      </c>
      <c r="C1" s="166" t="s">
        <v>220</v>
      </c>
      <c r="D1" s="166" t="s">
        <v>350</v>
      </c>
      <c r="E1" s="201" t="s">
        <v>167</v>
      </c>
      <c r="F1" s="166" t="s">
        <v>488</v>
      </c>
      <c r="G1" s="166" t="s">
        <v>489</v>
      </c>
    </row>
    <row r="2" spans="1:7" ht="409.5">
      <c r="A2" s="297"/>
      <c r="B2" s="179" t="s">
        <v>26</v>
      </c>
      <c r="C2" s="182" t="s">
        <v>168</v>
      </c>
      <c r="D2" s="245" t="s">
        <v>367</v>
      </c>
      <c r="E2" s="202" t="s">
        <v>368</v>
      </c>
      <c r="F2" s="2"/>
      <c r="G2" s="2"/>
    </row>
    <row r="3" spans="1:7" ht="156.75">
      <c r="A3" s="297"/>
      <c r="B3" s="179" t="s">
        <v>222</v>
      </c>
      <c r="C3" s="182" t="s">
        <v>169</v>
      </c>
      <c r="D3" s="245" t="s">
        <v>355</v>
      </c>
      <c r="E3" s="202" t="s">
        <v>356</v>
      </c>
      <c r="F3" s="2"/>
      <c r="G3" s="2"/>
    </row>
    <row r="4" spans="1:7" ht="242.25">
      <c r="A4" s="297"/>
      <c r="B4" s="179" t="s">
        <v>223</v>
      </c>
      <c r="C4" s="181" t="s">
        <v>169</v>
      </c>
      <c r="D4" s="245" t="s">
        <v>357</v>
      </c>
      <c r="E4" s="202" t="s">
        <v>358</v>
      </c>
      <c r="F4" s="2"/>
      <c r="G4" s="2"/>
    </row>
    <row r="5" spans="1:7" ht="384.75">
      <c r="A5" s="297"/>
      <c r="B5" s="179" t="s">
        <v>32</v>
      </c>
      <c r="C5" s="181" t="s">
        <v>173</v>
      </c>
      <c r="D5" s="245" t="s">
        <v>359</v>
      </c>
      <c r="E5" s="202" t="s">
        <v>360</v>
      </c>
      <c r="F5" s="2"/>
      <c r="G5" s="2"/>
    </row>
    <row r="6" spans="1:7" ht="171">
      <c r="A6" s="297"/>
      <c r="B6" s="179" t="s">
        <v>361</v>
      </c>
      <c r="C6" s="181" t="s">
        <v>174</v>
      </c>
      <c r="D6" s="245" t="s">
        <v>363</v>
      </c>
      <c r="E6" s="202" t="s">
        <v>364</v>
      </c>
      <c r="F6" s="2"/>
      <c r="G6" s="2"/>
    </row>
    <row r="7" spans="1:7" ht="242.25">
      <c r="A7" s="297"/>
      <c r="B7" s="179" t="s">
        <v>362</v>
      </c>
      <c r="C7" s="181"/>
      <c r="D7" s="245" t="s">
        <v>365</v>
      </c>
      <c r="E7" s="180" t="s">
        <v>366</v>
      </c>
      <c r="F7" s="2"/>
      <c r="G7" s="2"/>
    </row>
    <row r="8" spans="1:7" ht="142.5">
      <c r="A8" s="297"/>
      <c r="B8" s="179" t="s">
        <v>217</v>
      </c>
      <c r="C8" s="182" t="s">
        <v>172</v>
      </c>
      <c r="D8" s="245" t="s">
        <v>353</v>
      </c>
      <c r="E8" s="202" t="s">
        <v>351</v>
      </c>
      <c r="F8" s="2"/>
      <c r="G8" s="2"/>
    </row>
    <row r="9" spans="1:7" ht="242.25">
      <c r="A9" s="297"/>
      <c r="B9" s="179" t="s">
        <v>218</v>
      </c>
      <c r="C9" s="182" t="s">
        <v>172</v>
      </c>
      <c r="D9" s="245" t="s">
        <v>354</v>
      </c>
      <c r="E9" s="202" t="s">
        <v>352</v>
      </c>
      <c r="F9" s="2"/>
      <c r="G9" s="2"/>
    </row>
    <row r="10" spans="1:7" ht="299.25">
      <c r="A10" s="297"/>
      <c r="B10" s="179" t="s">
        <v>28</v>
      </c>
      <c r="C10" s="182" t="s">
        <v>170</v>
      </c>
      <c r="D10" s="245" t="s">
        <v>369</v>
      </c>
      <c r="E10" s="202" t="s">
        <v>370</v>
      </c>
      <c r="F10" s="2"/>
      <c r="G10" s="2"/>
    </row>
    <row r="11" spans="1:7" ht="213.75">
      <c r="A11" s="297"/>
      <c r="B11" s="179" t="s">
        <v>29</v>
      </c>
      <c r="C11" s="181" t="s">
        <v>219</v>
      </c>
      <c r="D11" s="244" t="s">
        <v>371</v>
      </c>
      <c r="E11" s="202" t="s">
        <v>486</v>
      </c>
      <c r="F11" s="2"/>
      <c r="G11" s="2"/>
    </row>
    <row r="12" spans="1:7" ht="242.25">
      <c r="A12" s="297"/>
      <c r="B12" s="179" t="s">
        <v>30</v>
      </c>
      <c r="C12" s="181" t="s">
        <v>171</v>
      </c>
      <c r="D12" s="244" t="s">
        <v>484</v>
      </c>
      <c r="E12" s="202" t="s">
        <v>485</v>
      </c>
      <c r="F12" s="2"/>
      <c r="G12" s="2"/>
    </row>
    <row r="13" spans="1:7" ht="57">
      <c r="A13" s="298"/>
      <c r="B13" s="179" t="s">
        <v>38</v>
      </c>
      <c r="C13" s="181" t="s">
        <v>221</v>
      </c>
      <c r="D13" s="244" t="s">
        <v>487</v>
      </c>
      <c r="E13" s="202"/>
      <c r="F13" s="2"/>
      <c r="G13" s="2"/>
    </row>
    <row r="19" spans="1:17" ht="15">
      <c r="B19" s="296" t="s">
        <v>39</v>
      </c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297"/>
      <c r="N19" s="298"/>
    </row>
    <row r="20" spans="1:17" ht="94.5">
      <c r="A20" t="s">
        <v>140</v>
      </c>
      <c r="B20" s="166" t="s">
        <v>495</v>
      </c>
      <c r="C20" s="207" t="s">
        <v>26</v>
      </c>
      <c r="D20" s="207" t="s">
        <v>222</v>
      </c>
      <c r="E20" s="207" t="s">
        <v>223</v>
      </c>
      <c r="F20" s="207" t="s">
        <v>32</v>
      </c>
      <c r="G20" s="207" t="s">
        <v>361</v>
      </c>
      <c r="H20" s="207" t="s">
        <v>362</v>
      </c>
      <c r="I20" s="207" t="s">
        <v>217</v>
      </c>
      <c r="J20" s="207" t="s">
        <v>218</v>
      </c>
      <c r="K20" s="207" t="s">
        <v>28</v>
      </c>
      <c r="L20" s="207" t="s">
        <v>29</v>
      </c>
      <c r="M20" s="207" t="s">
        <v>30</v>
      </c>
      <c r="N20" s="207" t="s">
        <v>38</v>
      </c>
    </row>
    <row r="21" spans="1:17" ht="57">
      <c r="A21" t="s">
        <v>494</v>
      </c>
      <c r="K21" t="s">
        <v>493</v>
      </c>
      <c r="L21" s="21" t="s">
        <v>496</v>
      </c>
      <c r="M21" t="s">
        <v>499</v>
      </c>
    </row>
    <row r="24" spans="1:17">
      <c r="A24" t="s">
        <v>140</v>
      </c>
      <c r="B24" t="s">
        <v>1</v>
      </c>
      <c r="C24" t="s">
        <v>73</v>
      </c>
      <c r="D24" t="s">
        <v>83</v>
      </c>
      <c r="E24" t="s">
        <v>48</v>
      </c>
      <c r="F24" t="s">
        <v>49</v>
      </c>
      <c r="G24" t="s">
        <v>50</v>
      </c>
      <c r="H24" t="s">
        <v>51</v>
      </c>
      <c r="I24" t="s">
        <v>84</v>
      </c>
      <c r="J24" t="s">
        <v>86</v>
      </c>
      <c r="K24" t="s">
        <v>85</v>
      </c>
      <c r="L24" t="s">
        <v>52</v>
      </c>
      <c r="M24" t="s">
        <v>53</v>
      </c>
      <c r="N24" t="s">
        <v>54</v>
      </c>
      <c r="O24" t="s">
        <v>55</v>
      </c>
      <c r="P24" t="s">
        <v>56</v>
      </c>
      <c r="Q24" t="s">
        <v>57</v>
      </c>
    </row>
    <row r="25" spans="1:17">
      <c r="A25">
        <v>1</v>
      </c>
      <c r="B25" t="s">
        <v>4</v>
      </c>
      <c r="C25">
        <v>11</v>
      </c>
      <c r="D25" t="s">
        <v>5</v>
      </c>
      <c r="E25">
        <v>2.8999999999999998E-3</v>
      </c>
      <c r="F25" t="s">
        <v>59</v>
      </c>
      <c r="G25">
        <v>1</v>
      </c>
      <c r="H25">
        <v>10</v>
      </c>
      <c r="I25">
        <v>11</v>
      </c>
      <c r="J25" t="s">
        <v>88</v>
      </c>
      <c r="K25">
        <v>78.67</v>
      </c>
      <c r="L25">
        <v>123.49</v>
      </c>
      <c r="M25">
        <v>120</v>
      </c>
      <c r="N25">
        <v>243.49</v>
      </c>
      <c r="O25" t="s">
        <v>89</v>
      </c>
      <c r="Q25" t="s">
        <v>90</v>
      </c>
    </row>
    <row r="26" spans="1:17">
      <c r="A26">
        <v>1</v>
      </c>
      <c r="B26" t="s">
        <v>491</v>
      </c>
      <c r="I26" t="s">
        <v>497</v>
      </c>
    </row>
  </sheetData>
  <mergeCells count="2">
    <mergeCell ref="B19:N19"/>
    <mergeCell ref="A1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9C50-EA6F-4FDB-B4D2-DA027FC979BF}">
  <dimension ref="A1:E48"/>
  <sheetViews>
    <sheetView workbookViewId="0">
      <selection activeCell="E4" sqref="E4"/>
    </sheetView>
  </sheetViews>
  <sheetFormatPr baseColWidth="10" defaultRowHeight="14.25"/>
  <cols>
    <col min="1" max="1" width="87.625" bestFit="1" customWidth="1"/>
    <col min="2" max="2" width="20" customWidth="1"/>
    <col min="3" max="6" width="26.75" customWidth="1"/>
  </cols>
  <sheetData>
    <row r="1" spans="1:5" ht="37.5">
      <c r="A1" s="183" t="s">
        <v>224</v>
      </c>
    </row>
    <row r="2" spans="1:5" ht="17.25" thickBot="1">
      <c r="A2" s="184"/>
    </row>
    <row r="3" spans="1:5" ht="17.25" thickBot="1">
      <c r="A3" s="185" t="s">
        <v>50</v>
      </c>
      <c r="B3" s="185" t="s">
        <v>225</v>
      </c>
      <c r="C3" s="185" t="s">
        <v>226</v>
      </c>
      <c r="D3" s="185" t="s">
        <v>227</v>
      </c>
      <c r="E3" s="185" t="s">
        <v>228</v>
      </c>
    </row>
    <row r="4" spans="1:5" ht="83.25" thickBot="1">
      <c r="A4" s="186" t="s">
        <v>229</v>
      </c>
      <c r="B4" s="186" t="s">
        <v>230</v>
      </c>
      <c r="C4" s="186" t="s">
        <v>231</v>
      </c>
      <c r="D4" s="186" t="s">
        <v>232</v>
      </c>
      <c r="E4" s="186" t="s">
        <v>233</v>
      </c>
    </row>
    <row r="5" spans="1:5" ht="66.75" thickBot="1">
      <c r="A5" s="186" t="s">
        <v>229</v>
      </c>
      <c r="B5" s="186" t="s">
        <v>234</v>
      </c>
      <c r="C5" s="186" t="s">
        <v>235</v>
      </c>
      <c r="D5" s="186" t="s">
        <v>236</v>
      </c>
      <c r="E5" s="186" t="s">
        <v>237</v>
      </c>
    </row>
    <row r="6" spans="1:5" ht="83.25" thickBot="1">
      <c r="A6" s="186" t="s">
        <v>229</v>
      </c>
      <c r="B6" s="186" t="s">
        <v>238</v>
      </c>
      <c r="C6" s="186" t="s">
        <v>239</v>
      </c>
      <c r="D6" s="186" t="s">
        <v>240</v>
      </c>
      <c r="E6" s="186" t="s">
        <v>241</v>
      </c>
    </row>
    <row r="7" spans="1:5" ht="83.25" thickBot="1">
      <c r="A7" s="186" t="s">
        <v>229</v>
      </c>
      <c r="B7" s="186" t="s">
        <v>75</v>
      </c>
      <c r="C7" s="186" t="s">
        <v>242</v>
      </c>
      <c r="D7" s="186" t="s">
        <v>243</v>
      </c>
      <c r="E7" s="186" t="s">
        <v>244</v>
      </c>
    </row>
    <row r="8" spans="1:5" ht="66.75" thickBot="1">
      <c r="A8" s="186" t="s">
        <v>229</v>
      </c>
      <c r="B8" s="186" t="s">
        <v>245</v>
      </c>
      <c r="C8" s="186" t="s">
        <v>246</v>
      </c>
      <c r="D8" s="186" t="s">
        <v>247</v>
      </c>
      <c r="E8" s="186" t="s">
        <v>248</v>
      </c>
    </row>
    <row r="9" spans="1:5" ht="37.5">
      <c r="A9" s="183" t="s">
        <v>249</v>
      </c>
    </row>
    <row r="10" spans="1:5">
      <c r="A10" s="42"/>
    </row>
    <row r="11" spans="1:5" ht="26.25">
      <c r="A11" s="187" t="s">
        <v>250</v>
      </c>
    </row>
    <row r="12" spans="1:5" ht="17.25" thickBot="1">
      <c r="A12" s="184"/>
    </row>
    <row r="13" spans="1:5" ht="17.25" thickBot="1">
      <c r="B13" s="185" t="s">
        <v>251</v>
      </c>
      <c r="C13" s="185" t="s">
        <v>252</v>
      </c>
      <c r="D13" s="185" t="s">
        <v>253</v>
      </c>
      <c r="E13" s="185" t="s">
        <v>254</v>
      </c>
    </row>
    <row r="14" spans="1:5" ht="50.25" thickBot="1">
      <c r="A14" t="s">
        <v>75</v>
      </c>
      <c r="B14" s="186" t="s">
        <v>255</v>
      </c>
      <c r="C14" s="186" t="s">
        <v>256</v>
      </c>
      <c r="D14" s="186" t="s">
        <v>257</v>
      </c>
      <c r="E14" s="186" t="s">
        <v>258</v>
      </c>
    </row>
    <row r="15" spans="1:5" ht="50.25" thickBot="1">
      <c r="A15" t="s">
        <v>75</v>
      </c>
      <c r="B15" s="186" t="s">
        <v>259</v>
      </c>
      <c r="C15" s="186" t="s">
        <v>260</v>
      </c>
      <c r="D15" s="186" t="s">
        <v>261</v>
      </c>
      <c r="E15" s="186" t="s">
        <v>262</v>
      </c>
    </row>
    <row r="16" spans="1:5" ht="50.25" thickBot="1">
      <c r="A16" t="s">
        <v>75</v>
      </c>
      <c r="B16" s="186" t="s">
        <v>263</v>
      </c>
      <c r="C16" s="186" t="s">
        <v>264</v>
      </c>
      <c r="D16" s="186" t="s">
        <v>265</v>
      </c>
      <c r="E16" s="186" t="s">
        <v>266</v>
      </c>
    </row>
    <row r="17" spans="1:5" ht="33.75" thickBot="1">
      <c r="A17" t="s">
        <v>75</v>
      </c>
      <c r="B17" s="186" t="s">
        <v>267</v>
      </c>
      <c r="C17" s="186" t="s">
        <v>268</v>
      </c>
      <c r="D17" s="186" t="s">
        <v>269</v>
      </c>
      <c r="E17" s="186" t="s">
        <v>270</v>
      </c>
    </row>
    <row r="18" spans="1:5" ht="33.75" thickBot="1">
      <c r="A18" t="s">
        <v>75</v>
      </c>
      <c r="B18" s="186" t="s">
        <v>271</v>
      </c>
      <c r="C18" s="186" t="s">
        <v>272</v>
      </c>
      <c r="D18" s="186" t="s">
        <v>273</v>
      </c>
      <c r="E18" s="186" t="s">
        <v>274</v>
      </c>
    </row>
    <row r="19" spans="1:5" ht="50.25" thickBot="1">
      <c r="A19" t="s">
        <v>75</v>
      </c>
      <c r="B19" s="186" t="s">
        <v>275</v>
      </c>
      <c r="C19" s="186" t="s">
        <v>276</v>
      </c>
      <c r="D19" s="186" t="s">
        <v>277</v>
      </c>
      <c r="E19" s="186" t="s">
        <v>278</v>
      </c>
    </row>
    <row r="20" spans="1:5" ht="33.75" thickBot="1">
      <c r="A20" t="s">
        <v>75</v>
      </c>
      <c r="B20" s="186" t="s">
        <v>279</v>
      </c>
      <c r="C20" s="186" t="s">
        <v>280</v>
      </c>
      <c r="D20" s="186" t="s">
        <v>281</v>
      </c>
      <c r="E20" s="186" t="s">
        <v>282</v>
      </c>
    </row>
    <row r="21" spans="1:5" ht="33.75" thickBot="1">
      <c r="A21" t="s">
        <v>75</v>
      </c>
      <c r="B21" s="186" t="s">
        <v>283</v>
      </c>
      <c r="C21" s="186" t="s">
        <v>284</v>
      </c>
      <c r="D21" s="186" t="s">
        <v>285</v>
      </c>
      <c r="E21" s="186" t="s">
        <v>286</v>
      </c>
    </row>
    <row r="23" spans="1:5" ht="37.5">
      <c r="A23" s="183" t="s">
        <v>287</v>
      </c>
    </row>
    <row r="24" spans="1:5" ht="17.25" thickBot="1">
      <c r="A24" s="184"/>
    </row>
    <row r="25" spans="1:5" ht="17.25" thickBot="1">
      <c r="B25" s="185" t="s">
        <v>251</v>
      </c>
      <c r="C25" s="185" t="s">
        <v>252</v>
      </c>
      <c r="D25" s="185" t="s">
        <v>253</v>
      </c>
      <c r="E25" s="185" t="s">
        <v>254</v>
      </c>
    </row>
    <row r="26" spans="1:5" ht="33.75" thickBot="1">
      <c r="A26" t="s">
        <v>327</v>
      </c>
      <c r="B26" s="186" t="s">
        <v>288</v>
      </c>
      <c r="C26" s="186" t="s">
        <v>289</v>
      </c>
      <c r="D26" s="186" t="s">
        <v>290</v>
      </c>
      <c r="E26" s="186" t="s">
        <v>291</v>
      </c>
    </row>
    <row r="27" spans="1:5" ht="33.75" thickBot="1">
      <c r="A27" t="s">
        <v>327</v>
      </c>
      <c r="B27" s="186" t="s">
        <v>292</v>
      </c>
      <c r="C27" s="186" t="s">
        <v>293</v>
      </c>
      <c r="D27" s="186" t="s">
        <v>294</v>
      </c>
      <c r="E27" s="186" t="s">
        <v>295</v>
      </c>
    </row>
    <row r="28" spans="1:5" ht="33.75" thickBot="1">
      <c r="A28" t="s">
        <v>327</v>
      </c>
      <c r="B28" s="186" t="s">
        <v>296</v>
      </c>
      <c r="C28" s="186" t="s">
        <v>297</v>
      </c>
      <c r="D28" s="186" t="s">
        <v>298</v>
      </c>
      <c r="E28" s="186" t="s">
        <v>299</v>
      </c>
    </row>
    <row r="29" spans="1:5" ht="17.25" thickBot="1">
      <c r="A29" t="s">
        <v>327</v>
      </c>
      <c r="B29" s="186" t="s">
        <v>300</v>
      </c>
      <c r="C29" s="186" t="s">
        <v>301</v>
      </c>
      <c r="D29" s="186" t="s">
        <v>302</v>
      </c>
      <c r="E29" s="186" t="s">
        <v>303</v>
      </c>
    </row>
    <row r="30" spans="1:5" ht="33.75" thickBot="1">
      <c r="A30" t="s">
        <v>327</v>
      </c>
      <c r="B30" s="186" t="s">
        <v>304</v>
      </c>
      <c r="C30" s="186" t="s">
        <v>305</v>
      </c>
      <c r="D30" s="186" t="s">
        <v>306</v>
      </c>
      <c r="E30" s="186" t="s">
        <v>307</v>
      </c>
    </row>
    <row r="31" spans="1:5" ht="33.75" thickBot="1">
      <c r="A31" t="s">
        <v>327</v>
      </c>
      <c r="B31" s="186" t="s">
        <v>308</v>
      </c>
      <c r="C31" s="186" t="s">
        <v>309</v>
      </c>
      <c r="D31" s="186" t="s">
        <v>310</v>
      </c>
      <c r="E31" s="186" t="s">
        <v>311</v>
      </c>
    </row>
    <row r="32" spans="1:5" ht="33.75" thickBot="1">
      <c r="A32" t="s">
        <v>327</v>
      </c>
      <c r="B32" s="186" t="s">
        <v>312</v>
      </c>
      <c r="C32" s="186" t="s">
        <v>313</v>
      </c>
      <c r="D32" s="186" t="s">
        <v>314</v>
      </c>
      <c r="E32" s="186" t="s">
        <v>315</v>
      </c>
    </row>
    <row r="33" spans="1:5" ht="33.75" thickBot="1">
      <c r="A33" t="s">
        <v>327</v>
      </c>
      <c r="B33" s="186" t="s">
        <v>316</v>
      </c>
      <c r="C33" s="186" t="s">
        <v>317</v>
      </c>
      <c r="D33" s="186" t="s">
        <v>318</v>
      </c>
      <c r="E33" s="186" t="s">
        <v>319</v>
      </c>
    </row>
    <row r="34" spans="1:5" ht="33.75" thickBot="1">
      <c r="A34" t="s">
        <v>327</v>
      </c>
      <c r="B34" s="186" t="s">
        <v>320</v>
      </c>
      <c r="C34" s="186" t="s">
        <v>321</v>
      </c>
      <c r="D34" s="186" t="s">
        <v>318</v>
      </c>
      <c r="E34" s="186" t="s">
        <v>322</v>
      </c>
    </row>
    <row r="35" spans="1:5" ht="33.75" thickBot="1">
      <c r="A35" t="s">
        <v>327</v>
      </c>
      <c r="B35" s="186" t="s">
        <v>323</v>
      </c>
      <c r="C35" s="186" t="s">
        <v>324</v>
      </c>
      <c r="D35" s="186" t="s">
        <v>325</v>
      </c>
      <c r="E35" s="186" t="s">
        <v>326</v>
      </c>
    </row>
    <row r="37" spans="1:5" ht="37.5">
      <c r="B37" s="183" t="s">
        <v>328</v>
      </c>
    </row>
    <row r="38" spans="1:5" ht="17.25" thickBot="1">
      <c r="B38" s="184"/>
    </row>
    <row r="39" spans="1:5" ht="17.25" thickBot="1">
      <c r="B39" s="185" t="s">
        <v>329</v>
      </c>
      <c r="C39" s="185" t="s">
        <v>330</v>
      </c>
    </row>
    <row r="40" spans="1:5" ht="66.75" thickBot="1">
      <c r="A40" t="s">
        <v>349</v>
      </c>
      <c r="B40" s="186" t="s">
        <v>331</v>
      </c>
      <c r="C40" s="186" t="s">
        <v>332</v>
      </c>
    </row>
    <row r="41" spans="1:5" ht="66.75" thickBot="1">
      <c r="A41" t="s">
        <v>349</v>
      </c>
      <c r="B41" s="186" t="s">
        <v>333</v>
      </c>
      <c r="C41" s="186" t="s">
        <v>334</v>
      </c>
    </row>
    <row r="42" spans="1:5" ht="66.75" thickBot="1">
      <c r="A42" t="s">
        <v>349</v>
      </c>
      <c r="B42" s="186" t="s">
        <v>335</v>
      </c>
      <c r="C42" s="186" t="s">
        <v>336</v>
      </c>
    </row>
    <row r="43" spans="1:5" ht="50.25" thickBot="1">
      <c r="A43" t="s">
        <v>349</v>
      </c>
      <c r="B43" s="186" t="s">
        <v>337</v>
      </c>
      <c r="C43" s="186" t="s">
        <v>338</v>
      </c>
    </row>
    <row r="44" spans="1:5" ht="66.75" thickBot="1">
      <c r="A44" t="s">
        <v>349</v>
      </c>
      <c r="B44" s="186" t="s">
        <v>339</v>
      </c>
      <c r="C44" s="186" t="s">
        <v>340</v>
      </c>
    </row>
    <row r="45" spans="1:5" ht="83.25" thickBot="1">
      <c r="A45" t="s">
        <v>349</v>
      </c>
      <c r="B45" s="186" t="s">
        <v>341</v>
      </c>
      <c r="C45" s="186" t="s">
        <v>342</v>
      </c>
    </row>
    <row r="46" spans="1:5" ht="50.25" thickBot="1">
      <c r="A46" t="s">
        <v>349</v>
      </c>
      <c r="B46" s="186" t="s">
        <v>343</v>
      </c>
      <c r="C46" s="186" t="s">
        <v>344</v>
      </c>
    </row>
    <row r="47" spans="1:5" ht="66.75" thickBot="1">
      <c r="A47" t="s">
        <v>349</v>
      </c>
      <c r="B47" s="186" t="s">
        <v>345</v>
      </c>
      <c r="C47" s="186" t="s">
        <v>346</v>
      </c>
    </row>
    <row r="48" spans="1:5" ht="83.25" thickBot="1">
      <c r="A48" t="s">
        <v>349</v>
      </c>
      <c r="B48" s="186" t="s">
        <v>347</v>
      </c>
      <c r="C48" s="186" t="s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0257-16FA-4FB6-A25B-844D6A819B6E}">
  <dimension ref="A1:I50"/>
  <sheetViews>
    <sheetView zoomScale="115" zoomScaleNormal="115" workbookViewId="0">
      <pane ySplit="3" topLeftCell="A4" activePane="bottomLeft" state="frozen"/>
      <selection activeCell="E27" sqref="E27"/>
      <selection pane="bottomLeft" activeCell="A6" sqref="A6:D6"/>
    </sheetView>
  </sheetViews>
  <sheetFormatPr baseColWidth="10" defaultColWidth="11.625" defaultRowHeight="14.25"/>
  <cols>
    <col min="1" max="1" width="96.625" bestFit="1" customWidth="1"/>
    <col min="2" max="2" width="26.375" customWidth="1"/>
    <col min="3" max="3" width="13.375" bestFit="1" customWidth="1"/>
    <col min="4" max="4" width="13.875" customWidth="1"/>
    <col min="6" max="6" width="25.375" bestFit="1" customWidth="1"/>
    <col min="7" max="8" width="13.125" bestFit="1" customWidth="1"/>
  </cols>
  <sheetData>
    <row r="1" spans="1:9" ht="18">
      <c r="A1" s="32" t="s">
        <v>128</v>
      </c>
    </row>
    <row r="2" spans="1:9">
      <c r="A2" s="33"/>
    </row>
    <row r="3" spans="1:9" ht="15.75" thickBot="1">
      <c r="A3" s="34" t="s">
        <v>1</v>
      </c>
      <c r="B3" s="34" t="s">
        <v>119</v>
      </c>
      <c r="C3" s="34" t="s">
        <v>121</v>
      </c>
      <c r="D3" s="34" t="s">
        <v>126</v>
      </c>
      <c r="G3" s="35" t="s">
        <v>129</v>
      </c>
      <c r="H3" s="36" t="s">
        <v>130</v>
      </c>
    </row>
    <row r="4" spans="1:9" ht="15" thickTop="1">
      <c r="A4" t="s">
        <v>20</v>
      </c>
      <c r="B4" t="s">
        <v>120</v>
      </c>
      <c r="C4" s="37"/>
      <c r="D4" s="37"/>
      <c r="F4" s="38" t="s">
        <v>20</v>
      </c>
      <c r="G4" s="39">
        <f>+SUM(C4:C5)</f>
        <v>0</v>
      </c>
      <c r="H4" s="39">
        <f>+SUM(D4:D5)</f>
        <v>0</v>
      </c>
    </row>
    <row r="5" spans="1:9">
      <c r="A5" t="s">
        <v>20</v>
      </c>
      <c r="B5" t="s">
        <v>125</v>
      </c>
      <c r="C5" s="37"/>
      <c r="D5" s="37"/>
      <c r="F5" s="40" t="s">
        <v>21</v>
      </c>
      <c r="G5" s="41">
        <f>+SUM(C10:C11)</f>
        <v>0</v>
      </c>
      <c r="H5" s="41">
        <f>+SUM(D10:D11)</f>
        <v>0</v>
      </c>
    </row>
    <row r="6" spans="1:9">
      <c r="B6" t="s">
        <v>175</v>
      </c>
      <c r="C6" s="37"/>
      <c r="D6" s="37"/>
      <c r="F6" s="40"/>
      <c r="G6" s="41"/>
      <c r="H6" s="41"/>
    </row>
    <row r="7" spans="1:9">
      <c r="B7" t="s">
        <v>176</v>
      </c>
      <c r="C7" s="37"/>
      <c r="D7" s="37"/>
      <c r="F7" s="40"/>
      <c r="G7" s="41"/>
      <c r="H7" s="41"/>
    </row>
    <row r="8" spans="1:9">
      <c r="B8" t="s">
        <v>177</v>
      </c>
      <c r="C8" s="37"/>
      <c r="D8" s="37"/>
      <c r="F8" s="40"/>
      <c r="G8" s="41"/>
      <c r="H8" s="41"/>
    </row>
    <row r="9" spans="1:9">
      <c r="C9" s="37"/>
      <c r="D9" s="37"/>
      <c r="F9" s="40"/>
      <c r="G9" s="41"/>
      <c r="H9" s="41"/>
    </row>
    <row r="10" spans="1:9">
      <c r="A10" t="s">
        <v>21</v>
      </c>
      <c r="B10" t="s">
        <v>120</v>
      </c>
      <c r="C10" s="37"/>
      <c r="D10" s="37"/>
      <c r="F10" s="38" t="s">
        <v>122</v>
      </c>
      <c r="G10" s="39">
        <f>+SUM(C12:C13)</f>
        <v>0</v>
      </c>
      <c r="H10" s="39">
        <f>+SUM(D12:D13)</f>
        <v>0</v>
      </c>
    </row>
    <row r="11" spans="1:9">
      <c r="A11" t="s">
        <v>21</v>
      </c>
      <c r="B11" t="s">
        <v>125</v>
      </c>
      <c r="C11" s="37"/>
      <c r="D11" s="37"/>
      <c r="F11" s="40" t="s">
        <v>105</v>
      </c>
      <c r="G11" s="41">
        <f>+SUM(C14:C15)</f>
        <v>0</v>
      </c>
      <c r="H11" s="41">
        <f>+SUM(D14:D15)</f>
        <v>0</v>
      </c>
    </row>
    <row r="12" spans="1:9" ht="71.25">
      <c r="A12" s="42" t="s">
        <v>122</v>
      </c>
      <c r="B12" s="42" t="s">
        <v>120</v>
      </c>
      <c r="C12" s="43"/>
      <c r="D12" s="43"/>
      <c r="E12" s="42"/>
      <c r="F12" s="44" t="s">
        <v>131</v>
      </c>
      <c r="G12" s="45">
        <f>+SUM(C16:C16)</f>
        <v>0</v>
      </c>
      <c r="H12" s="45">
        <f>+SUM(D16:D16)</f>
        <v>0</v>
      </c>
      <c r="I12" s="26" t="s">
        <v>132</v>
      </c>
    </row>
    <row r="13" spans="1:9">
      <c r="A13" t="s">
        <v>122</v>
      </c>
      <c r="B13" t="s">
        <v>125</v>
      </c>
      <c r="C13" s="37"/>
      <c r="D13" s="37"/>
      <c r="F13" s="40"/>
      <c r="G13" s="41" t="e">
        <f>+SUM(#REF!)</f>
        <v>#REF!</v>
      </c>
      <c r="H13" s="41" t="e">
        <f>+SUM(#REF!)</f>
        <v>#REF!</v>
      </c>
    </row>
    <row r="14" spans="1:9">
      <c r="A14" t="s">
        <v>105</v>
      </c>
      <c r="B14" t="s">
        <v>120</v>
      </c>
      <c r="C14" s="37"/>
      <c r="D14" s="37"/>
      <c r="F14" s="38"/>
      <c r="G14" s="39" t="e">
        <f>+SUM(#REF!)</f>
        <v>#REF!</v>
      </c>
      <c r="H14" s="39" t="e">
        <f>+SUM(#REF!)</f>
        <v>#REF!</v>
      </c>
    </row>
    <row r="15" spans="1:9">
      <c r="A15" t="s">
        <v>105</v>
      </c>
      <c r="B15" t="s">
        <v>125</v>
      </c>
      <c r="C15" s="37"/>
      <c r="D15" s="37"/>
      <c r="F15" s="40"/>
      <c r="G15" s="41" t="e">
        <f>+SUM(#REF!)</f>
        <v>#REF!</v>
      </c>
      <c r="H15" s="41" t="e">
        <f>+SUM(#REF!)</f>
        <v>#REF!</v>
      </c>
    </row>
    <row r="16" spans="1:9">
      <c r="A16" s="21" t="s">
        <v>131</v>
      </c>
      <c r="B16" t="s">
        <v>120</v>
      </c>
      <c r="C16" s="37"/>
      <c r="D16" s="37"/>
      <c r="F16" s="38"/>
      <c r="G16" s="39" t="e">
        <f>+SUM(#REF!)</f>
        <v>#REF!</v>
      </c>
      <c r="H16" s="39" t="e">
        <f>+SUM(#REF!)</f>
        <v>#REF!</v>
      </c>
    </row>
    <row r="17" spans="1:8">
      <c r="A17" t="s">
        <v>123</v>
      </c>
      <c r="B17" t="s">
        <v>120</v>
      </c>
      <c r="C17" s="37"/>
      <c r="D17" s="37"/>
      <c r="F17" s="40" t="s">
        <v>123</v>
      </c>
      <c r="G17" s="41">
        <f>+SUM(C17:C18)</f>
        <v>0</v>
      </c>
      <c r="H17" s="41">
        <f>+SUM(D17:D18)</f>
        <v>0</v>
      </c>
    </row>
    <row r="18" spans="1:8">
      <c r="A18" t="s">
        <v>123</v>
      </c>
      <c r="B18" t="s">
        <v>125</v>
      </c>
      <c r="C18" s="37"/>
      <c r="D18" s="37"/>
      <c r="F18" s="38" t="s">
        <v>12</v>
      </c>
      <c r="G18" s="39">
        <f>+SUM(C19:C20)</f>
        <v>0</v>
      </c>
      <c r="H18" s="39">
        <f>+SUM(D19:D20)</f>
        <v>0</v>
      </c>
    </row>
    <row r="19" spans="1:8">
      <c r="A19" t="s">
        <v>12</v>
      </c>
      <c r="B19" t="s">
        <v>120</v>
      </c>
      <c r="C19" s="37"/>
      <c r="D19" s="37"/>
      <c r="F19" s="40" t="s">
        <v>10</v>
      </c>
      <c r="G19" s="41">
        <f>+SUM(C21:C22)</f>
        <v>0</v>
      </c>
      <c r="H19" s="41">
        <f>+SUM(D21:D22)</f>
        <v>0</v>
      </c>
    </row>
    <row r="20" spans="1:8">
      <c r="A20" t="s">
        <v>12</v>
      </c>
      <c r="B20" t="s">
        <v>125</v>
      </c>
      <c r="C20" s="37"/>
      <c r="D20" s="37"/>
      <c r="F20" s="38" t="s">
        <v>18</v>
      </c>
      <c r="G20" s="39">
        <f>+SUM(C23:C24)</f>
        <v>0</v>
      </c>
      <c r="H20" s="39">
        <f>+SUM(D23:D24)</f>
        <v>0</v>
      </c>
    </row>
    <row r="21" spans="1:8">
      <c r="A21" t="s">
        <v>10</v>
      </c>
      <c r="B21" t="s">
        <v>120</v>
      </c>
      <c r="C21" s="37"/>
      <c r="D21" s="37"/>
      <c r="F21" s="40" t="s">
        <v>15</v>
      </c>
      <c r="G21" s="41">
        <f>+SUM(C25:C26)</f>
        <v>0</v>
      </c>
      <c r="H21" s="41">
        <f>+SUM(D25:D26)</f>
        <v>0</v>
      </c>
    </row>
    <row r="22" spans="1:8">
      <c r="A22" t="s">
        <v>10</v>
      </c>
      <c r="B22" t="s">
        <v>125</v>
      </c>
      <c r="C22" s="37"/>
      <c r="D22" s="37"/>
      <c r="F22" s="38" t="s">
        <v>16</v>
      </c>
      <c r="G22" s="39">
        <f>+SUM(C27:C28)</f>
        <v>0</v>
      </c>
      <c r="H22" s="39">
        <f>+SUM(D27:D28)</f>
        <v>0</v>
      </c>
    </row>
    <row r="23" spans="1:8">
      <c r="A23" t="s">
        <v>18</v>
      </c>
      <c r="B23" t="s">
        <v>120</v>
      </c>
      <c r="C23" s="37"/>
      <c r="D23" s="37"/>
      <c r="F23" s="40" t="s">
        <v>124</v>
      </c>
      <c r="G23" s="41">
        <f>+SUM(C29:C30)</f>
        <v>0</v>
      </c>
      <c r="H23" s="41">
        <f>+SUM(D29:D30)</f>
        <v>0</v>
      </c>
    </row>
    <row r="24" spans="1:8">
      <c r="A24" t="s">
        <v>18</v>
      </c>
      <c r="B24" t="s">
        <v>125</v>
      </c>
      <c r="C24" s="37"/>
      <c r="D24" s="37"/>
      <c r="F24" s="38" t="s">
        <v>9</v>
      </c>
      <c r="G24" s="39">
        <f>+SUM(C31:C32)</f>
        <v>0</v>
      </c>
      <c r="H24" s="39">
        <f>+SUM(D31:D32)</f>
        <v>0</v>
      </c>
    </row>
    <row r="25" spans="1:8">
      <c r="A25" t="s">
        <v>15</v>
      </c>
      <c r="B25" t="s">
        <v>120</v>
      </c>
      <c r="C25" s="37"/>
      <c r="D25" s="37"/>
      <c r="F25" s="40" t="s">
        <v>22</v>
      </c>
      <c r="G25" s="41">
        <f>+SUM(C33:C34)</f>
        <v>0</v>
      </c>
      <c r="H25" s="41">
        <f>+SUM(D33:D34)</f>
        <v>0</v>
      </c>
    </row>
    <row r="26" spans="1:8">
      <c r="A26" t="s">
        <v>15</v>
      </c>
      <c r="B26" t="s">
        <v>125</v>
      </c>
      <c r="C26" s="37"/>
      <c r="D26" s="37"/>
      <c r="F26" s="38" t="s">
        <v>13</v>
      </c>
      <c r="G26" s="39">
        <f>+SUM(C35:C36)</f>
        <v>0</v>
      </c>
      <c r="H26" s="39">
        <f>+SUM(D35:D36)</f>
        <v>0</v>
      </c>
    </row>
    <row r="27" spans="1:8" ht="15" thickBot="1">
      <c r="A27" t="s">
        <v>16</v>
      </c>
      <c r="B27" t="s">
        <v>120</v>
      </c>
      <c r="C27" s="37"/>
      <c r="D27" s="37"/>
      <c r="F27" s="40" t="s">
        <v>23</v>
      </c>
      <c r="G27" s="41">
        <f>+SUM(C37:C38)</f>
        <v>0</v>
      </c>
      <c r="H27" s="41">
        <f>+SUM(D37:D38)</f>
        <v>0</v>
      </c>
    </row>
    <row r="28" spans="1:8" ht="15.75" thickTop="1">
      <c r="A28" t="s">
        <v>16</v>
      </c>
      <c r="B28" t="s">
        <v>125</v>
      </c>
      <c r="C28" s="37"/>
      <c r="D28" s="37"/>
      <c r="F28" s="46" t="s">
        <v>115</v>
      </c>
      <c r="G28" s="47" t="e">
        <f>SUM(G4:G27)</f>
        <v>#REF!</v>
      </c>
      <c r="H28" s="47" t="e">
        <f>SUM(H4:H27)</f>
        <v>#REF!</v>
      </c>
    </row>
    <row r="29" spans="1:8">
      <c r="A29" t="s">
        <v>124</v>
      </c>
      <c r="B29" t="s">
        <v>120</v>
      </c>
      <c r="C29" s="37"/>
      <c r="D29" s="37"/>
    </row>
    <row r="30" spans="1:8">
      <c r="A30" t="s">
        <v>124</v>
      </c>
      <c r="B30" t="s">
        <v>125</v>
      </c>
      <c r="C30" s="37"/>
      <c r="D30" s="37"/>
    </row>
    <row r="31" spans="1:8">
      <c r="A31" t="s">
        <v>9</v>
      </c>
      <c r="B31" t="s">
        <v>120</v>
      </c>
      <c r="C31" s="37"/>
      <c r="D31" s="37"/>
    </row>
    <row r="32" spans="1:8">
      <c r="A32" t="s">
        <v>9</v>
      </c>
      <c r="B32" t="s">
        <v>125</v>
      </c>
      <c r="C32" s="37"/>
      <c r="D32" s="37"/>
    </row>
    <row r="33" spans="1:4">
      <c r="A33" t="s">
        <v>22</v>
      </c>
      <c r="B33" t="s">
        <v>120</v>
      </c>
      <c r="C33" s="37"/>
      <c r="D33" s="37"/>
    </row>
    <row r="34" spans="1:4">
      <c r="A34" t="s">
        <v>22</v>
      </c>
      <c r="B34" t="s">
        <v>125</v>
      </c>
      <c r="C34" s="37"/>
      <c r="D34" s="37"/>
    </row>
    <row r="35" spans="1:4">
      <c r="A35" t="s">
        <v>13</v>
      </c>
      <c r="B35" t="s">
        <v>120</v>
      </c>
      <c r="C35" s="37"/>
      <c r="D35" s="37"/>
    </row>
    <row r="36" spans="1:4">
      <c r="A36" t="s">
        <v>13</v>
      </c>
      <c r="B36" t="s">
        <v>125</v>
      </c>
      <c r="C36" s="37"/>
      <c r="D36" s="37"/>
    </row>
    <row r="37" spans="1:4">
      <c r="A37" t="s">
        <v>23</v>
      </c>
      <c r="B37" t="s">
        <v>120</v>
      </c>
      <c r="C37" s="37"/>
      <c r="D37" s="37"/>
    </row>
    <row r="38" spans="1:4">
      <c r="A38" t="s">
        <v>23</v>
      </c>
      <c r="B38" t="s">
        <v>125</v>
      </c>
      <c r="C38" s="37"/>
      <c r="D38" s="37"/>
    </row>
    <row r="39" spans="1:4" ht="15">
      <c r="A39" s="48" t="s">
        <v>133</v>
      </c>
      <c r="C39" s="37"/>
      <c r="D39" s="37"/>
    </row>
    <row r="50" spans="1:1" ht="15">
      <c r="A50" s="48" t="s">
        <v>132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1BD2-7931-45AD-84EA-EB94492636AD}">
  <dimension ref="A1:G24"/>
  <sheetViews>
    <sheetView workbookViewId="0">
      <selection activeCell="G24" sqref="G24"/>
    </sheetView>
  </sheetViews>
  <sheetFormatPr baseColWidth="10" defaultRowHeight="14.25"/>
  <cols>
    <col min="1" max="1" width="25.375" bestFit="1" customWidth="1"/>
    <col min="2" max="2" width="14.875" bestFit="1" customWidth="1"/>
    <col min="3" max="4" width="19.375" bestFit="1" customWidth="1"/>
    <col min="5" max="5" width="12.125" bestFit="1" customWidth="1"/>
    <col min="6" max="6" width="12" bestFit="1" customWidth="1"/>
    <col min="7" max="7" width="73.125" customWidth="1"/>
  </cols>
  <sheetData>
    <row r="1" spans="1:7" ht="18">
      <c r="A1" s="299" t="s">
        <v>134</v>
      </c>
      <c r="B1" s="299"/>
      <c r="C1" s="299"/>
      <c r="D1" s="299"/>
      <c r="E1" s="299"/>
      <c r="F1" s="299"/>
    </row>
    <row r="2" spans="1:7">
      <c r="A2" s="300"/>
      <c r="B2" s="300"/>
      <c r="C2" s="300"/>
      <c r="D2" s="300"/>
      <c r="E2" s="300"/>
      <c r="F2" s="300"/>
    </row>
    <row r="3" spans="1:7">
      <c r="A3" t="s">
        <v>1</v>
      </c>
      <c r="B3" t="s">
        <v>114</v>
      </c>
      <c r="C3" t="s">
        <v>135</v>
      </c>
      <c r="D3" t="s">
        <v>136</v>
      </c>
      <c r="E3" t="s">
        <v>127</v>
      </c>
      <c r="F3" t="s">
        <v>137</v>
      </c>
    </row>
    <row r="4" spans="1:7">
      <c r="A4" t="s">
        <v>20</v>
      </c>
      <c r="B4" s="50"/>
      <c r="C4" s="50"/>
      <c r="D4" s="50"/>
      <c r="E4" s="50"/>
      <c r="F4" s="50"/>
    </row>
    <row r="5" spans="1:7">
      <c r="A5" t="s">
        <v>21</v>
      </c>
      <c r="B5" s="50"/>
      <c r="C5" s="50"/>
      <c r="D5" s="50"/>
      <c r="E5" s="50"/>
      <c r="F5" s="50"/>
    </row>
    <row r="6" spans="1:7">
      <c r="A6" t="s">
        <v>122</v>
      </c>
      <c r="B6" s="50"/>
      <c r="C6" s="50"/>
      <c r="D6" s="50"/>
      <c r="E6" s="50"/>
      <c r="F6" s="50"/>
    </row>
    <row r="7" spans="1:7">
      <c r="A7" t="s">
        <v>105</v>
      </c>
      <c r="B7" s="50"/>
      <c r="C7" s="50"/>
      <c r="D7" s="50"/>
      <c r="E7" s="50"/>
      <c r="F7" s="50"/>
    </row>
    <row r="8" spans="1:7" ht="71.25">
      <c r="A8" s="21" t="s">
        <v>131</v>
      </c>
      <c r="B8" s="51"/>
      <c r="C8" s="51"/>
      <c r="D8" s="51"/>
      <c r="E8" s="51"/>
      <c r="F8" s="51"/>
      <c r="G8" s="27" t="s">
        <v>132</v>
      </c>
    </row>
    <row r="9" spans="1:7">
      <c r="B9" s="50"/>
      <c r="C9" s="50"/>
      <c r="D9" s="50"/>
      <c r="E9" s="50"/>
      <c r="F9" s="50"/>
    </row>
    <row r="10" spans="1:7">
      <c r="B10" s="50"/>
      <c r="C10" s="50"/>
      <c r="D10" s="50"/>
      <c r="E10" s="50"/>
      <c r="F10" s="50"/>
    </row>
    <row r="11" spans="1:7">
      <c r="B11" s="50"/>
      <c r="C11" s="50"/>
      <c r="D11" s="50"/>
      <c r="E11" s="50"/>
      <c r="F11" s="50"/>
    </row>
    <row r="12" spans="1:7">
      <c r="B12" s="50"/>
      <c r="C12" s="50"/>
      <c r="D12" s="50"/>
      <c r="E12" s="50"/>
      <c r="F12" s="50"/>
    </row>
    <row r="13" spans="1:7">
      <c r="A13" t="s">
        <v>123</v>
      </c>
      <c r="B13" s="50"/>
      <c r="C13" s="50"/>
      <c r="D13" s="50"/>
      <c r="E13" s="50"/>
      <c r="F13" s="50"/>
    </row>
    <row r="14" spans="1:7">
      <c r="A14" t="s">
        <v>12</v>
      </c>
      <c r="B14" s="50"/>
      <c r="C14" s="50"/>
      <c r="D14" s="50"/>
      <c r="E14" s="50"/>
      <c r="F14" s="50"/>
    </row>
    <row r="15" spans="1:7">
      <c r="A15" t="s">
        <v>10</v>
      </c>
      <c r="B15" s="50"/>
      <c r="C15" s="50"/>
      <c r="D15" s="50"/>
      <c r="E15" s="50"/>
      <c r="F15" s="50"/>
    </row>
    <row r="16" spans="1:7">
      <c r="A16" t="s">
        <v>18</v>
      </c>
      <c r="B16" s="50"/>
      <c r="C16" s="50"/>
      <c r="D16" s="50"/>
      <c r="E16" s="50"/>
      <c r="F16" s="50"/>
    </row>
    <row r="17" spans="1:6">
      <c r="A17" t="s">
        <v>15</v>
      </c>
      <c r="B17" s="50"/>
      <c r="C17" s="50"/>
      <c r="D17" s="50"/>
      <c r="E17" s="50"/>
      <c r="F17" s="50"/>
    </row>
    <row r="18" spans="1:6">
      <c r="A18" t="s">
        <v>16</v>
      </c>
      <c r="B18" s="50"/>
      <c r="C18" s="50"/>
      <c r="D18" s="50"/>
      <c r="E18" s="50"/>
      <c r="F18" s="50"/>
    </row>
    <row r="19" spans="1:6">
      <c r="A19" t="s">
        <v>124</v>
      </c>
      <c r="B19" s="50"/>
      <c r="C19" s="50"/>
      <c r="D19" s="50"/>
      <c r="E19" s="50"/>
      <c r="F19" s="50"/>
    </row>
    <row r="20" spans="1:6">
      <c r="A20" t="s">
        <v>9</v>
      </c>
      <c r="B20" s="50"/>
      <c r="C20" s="50"/>
      <c r="D20" s="50"/>
      <c r="E20" s="50"/>
      <c r="F20" s="50"/>
    </row>
    <row r="21" spans="1:6">
      <c r="A21" t="s">
        <v>22</v>
      </c>
      <c r="B21" s="50"/>
      <c r="C21" s="50"/>
      <c r="D21" s="50"/>
      <c r="E21" s="50"/>
      <c r="F21" s="50"/>
    </row>
    <row r="22" spans="1:6">
      <c r="A22" t="s">
        <v>13</v>
      </c>
      <c r="B22" s="50"/>
      <c r="C22" s="50"/>
      <c r="D22" s="50"/>
      <c r="E22" s="50"/>
      <c r="F22" s="50"/>
    </row>
    <row r="23" spans="1:6">
      <c r="A23" t="s">
        <v>23</v>
      </c>
      <c r="B23" s="50"/>
      <c r="C23" s="50"/>
      <c r="D23" s="50"/>
      <c r="E23" s="50"/>
      <c r="F23" s="50"/>
    </row>
    <row r="24" spans="1:6" ht="15">
      <c r="A24" s="52" t="s">
        <v>133</v>
      </c>
      <c r="B24" s="53"/>
      <c r="C24" s="53"/>
      <c r="D24" s="53"/>
      <c r="E24" s="53"/>
      <c r="F24" s="53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1942-802A-4022-A6FF-0836B2701FFA}">
  <dimension ref="A2:J4"/>
  <sheetViews>
    <sheetView workbookViewId="0">
      <selection activeCell="F3" sqref="F3:F12"/>
    </sheetView>
  </sheetViews>
  <sheetFormatPr baseColWidth="10" defaultRowHeight="14.25"/>
  <cols>
    <col min="1" max="1" width="12.625" bestFit="1" customWidth="1"/>
    <col min="2" max="3" width="18.25" bestFit="1" customWidth="1"/>
    <col min="4" max="4" width="10.125" bestFit="1" customWidth="1"/>
    <col min="5" max="5" width="18.25" bestFit="1" customWidth="1"/>
    <col min="6" max="6" width="10.75" bestFit="1" customWidth="1"/>
    <col min="7" max="7" width="16.125" customWidth="1"/>
    <col min="8" max="9" width="18.25" bestFit="1" customWidth="1"/>
    <col min="10" max="10" width="16.375" customWidth="1"/>
  </cols>
  <sheetData>
    <row r="2" spans="1:10" ht="15.75">
      <c r="B2" s="301" t="s">
        <v>24</v>
      </c>
      <c r="C2" s="301"/>
      <c r="D2" s="301"/>
      <c r="E2" s="301"/>
      <c r="F2" s="301"/>
      <c r="G2" s="301" t="s">
        <v>25</v>
      </c>
      <c r="H2" s="301"/>
      <c r="I2" s="301"/>
      <c r="J2" s="2" t="s">
        <v>37</v>
      </c>
    </row>
    <row r="3" spans="1:10" ht="63"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2"/>
    </row>
    <row r="4" spans="1:10" ht="42.75">
      <c r="A4" s="3"/>
      <c r="B4" s="4" t="s">
        <v>35</v>
      </c>
      <c r="C4" s="4" t="s">
        <v>35</v>
      </c>
      <c r="D4" s="4" t="s">
        <v>36</v>
      </c>
      <c r="E4" s="4" t="s">
        <v>35</v>
      </c>
      <c r="F4" s="4" t="s">
        <v>7</v>
      </c>
      <c r="G4" s="4" t="s">
        <v>34</v>
      </c>
      <c r="H4" s="4" t="s">
        <v>35</v>
      </c>
      <c r="I4" s="4" t="s">
        <v>35</v>
      </c>
      <c r="J4" s="4"/>
    </row>
  </sheetData>
  <mergeCells count="2">
    <mergeCell ref="B2:F2"/>
    <mergeCell ref="G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04F6-5C72-4B1A-B5CF-34ECBFE0872E}">
  <dimension ref="A1:E15"/>
  <sheetViews>
    <sheetView workbookViewId="0">
      <selection activeCell="C27" sqref="C27"/>
    </sheetView>
  </sheetViews>
  <sheetFormatPr baseColWidth="10" defaultColWidth="8.875" defaultRowHeight="14.25"/>
  <cols>
    <col min="1" max="1" width="14.25" style="21" customWidth="1"/>
    <col min="2" max="2" width="34.75" style="21" customWidth="1"/>
    <col min="3" max="3" width="64.625" style="21" customWidth="1"/>
    <col min="4" max="4" width="14.875" style="21" customWidth="1"/>
    <col min="5" max="5" width="16.75" style="21" customWidth="1"/>
  </cols>
  <sheetData>
    <row r="1" spans="1:5" ht="15">
      <c r="A1" s="302"/>
      <c r="B1" s="302"/>
      <c r="C1" s="302"/>
      <c r="D1" s="302"/>
      <c r="E1" s="302"/>
    </row>
    <row r="2" spans="1:5" ht="15">
      <c r="A2" s="303" t="s">
        <v>116</v>
      </c>
      <c r="B2" s="303"/>
      <c r="C2" s="303"/>
      <c r="D2" s="22" t="s">
        <v>117</v>
      </c>
      <c r="E2" s="23" t="s">
        <v>118</v>
      </c>
    </row>
    <row r="3" spans="1:5">
      <c r="A3" s="24"/>
      <c r="B3" s="24"/>
      <c r="C3" s="24"/>
      <c r="D3" s="25"/>
      <c r="E3" s="25"/>
    </row>
    <row r="4" spans="1:5">
      <c r="A4" s="24"/>
      <c r="B4" s="24"/>
      <c r="C4" s="24"/>
      <c r="D4" s="25"/>
      <c r="E4" s="25"/>
    </row>
    <row r="5" spans="1:5">
      <c r="A5" s="24"/>
      <c r="B5" s="24"/>
      <c r="C5" s="24"/>
      <c r="D5" s="25"/>
      <c r="E5" s="25"/>
    </row>
    <row r="6" spans="1:5">
      <c r="A6" s="24"/>
      <c r="B6" s="24"/>
      <c r="C6" s="24"/>
      <c r="D6" s="25"/>
      <c r="E6" s="25"/>
    </row>
    <row r="7" spans="1:5">
      <c r="A7" s="24"/>
      <c r="B7" s="24"/>
      <c r="C7" s="24"/>
      <c r="D7" s="25"/>
      <c r="E7" s="25"/>
    </row>
    <row r="8" spans="1:5">
      <c r="A8" s="24"/>
      <c r="B8" s="24"/>
      <c r="C8" s="24"/>
      <c r="D8" s="25"/>
      <c r="E8" s="25"/>
    </row>
    <row r="9" spans="1:5">
      <c r="A9" s="24"/>
      <c r="B9" s="24"/>
      <c r="C9" s="24"/>
      <c r="D9" s="25"/>
      <c r="E9" s="25"/>
    </row>
    <row r="10" spans="1:5">
      <c r="A10" s="24"/>
      <c r="B10" s="24"/>
      <c r="C10" s="24"/>
      <c r="D10" s="25"/>
      <c r="E10" s="25"/>
    </row>
    <row r="11" spans="1:5">
      <c r="A11" s="24"/>
      <c r="B11" s="24"/>
      <c r="C11" s="24"/>
      <c r="D11" s="25"/>
      <c r="E11" s="25"/>
    </row>
    <row r="12" spans="1:5">
      <c r="A12" s="24"/>
      <c r="B12" s="24"/>
      <c r="C12" s="24"/>
      <c r="D12" s="25"/>
      <c r="E12" s="25"/>
    </row>
    <row r="14" spans="1:5" ht="15">
      <c r="A14" s="26"/>
      <c r="B14" s="27"/>
    </row>
    <row r="15" spans="1:5" ht="15">
      <c r="A15" s="28"/>
      <c r="B15" s="29"/>
    </row>
  </sheetData>
  <mergeCells count="2">
    <mergeCell ref="A1:E1"/>
    <mergeCell ref="A2:C2"/>
  </mergeCells>
  <pageMargins left="0.7" right="0.7" top="0.75" bottom="0.75" header="0.3" footer="0.3"/>
  <headerFooter>
    <oddFooter>&amp;C_x000D_&amp;1#&amp;"Aptos"&amp;8&amp;K0000FF Datos elaborados por BCP para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9C8F383DBD9449B501E4E4BEEE1D68" ma:contentTypeVersion="3" ma:contentTypeDescription="Crear nuevo documento." ma:contentTypeScope="" ma:versionID="cc2788f09053e9b461ed1a37341deba1">
  <xsd:schema xmlns:xsd="http://www.w3.org/2001/XMLSchema" xmlns:xs="http://www.w3.org/2001/XMLSchema" xmlns:p="http://schemas.microsoft.com/office/2006/metadata/properties" xmlns:ns2="7bd195a7-7b2f-41c8-8b76-4e993a71f7c0" targetNamespace="http://schemas.microsoft.com/office/2006/metadata/properties" ma:root="true" ma:fieldsID="4ce7179f51d8bcfda82be92266125158" ns2:_="">
    <xsd:import namespace="7bd195a7-7b2f-41c8-8b76-4e993a71f7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195a7-7b2f-41c8-8b76-4e993a71f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8F364-9082-46AA-9EF7-0D038321F5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F209BC-3AD4-4F88-8420-A054AB8A5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195a7-7b2f-41c8-8b76-4e993a71f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D49350-77C7-44EF-A416-38862E2A26B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cronograma Actividades</vt:lpstr>
      <vt:lpstr>01-alcance</vt:lpstr>
      <vt:lpstr>01-CISOs</vt:lpstr>
      <vt:lpstr>01-Contactos Especialistas</vt:lpstr>
      <vt:lpstr>01-Contacto Partners</vt:lpstr>
      <vt:lpstr>02-fechaContratos</vt:lpstr>
      <vt:lpstr>03-VolumetriaCredActualizada</vt:lpstr>
      <vt:lpstr>04-HomologacionCapacidades</vt:lpstr>
      <vt:lpstr>Hoja3</vt:lpstr>
      <vt:lpstr>Resumen SW</vt:lpstr>
      <vt:lpstr>Resumen Labor</vt:lpstr>
      <vt:lpstr>homologacion cap. </vt:lpstr>
      <vt:lpstr>tarifario corporativo</vt:lpstr>
    </vt:vector>
  </TitlesOfParts>
  <Manager/>
  <Company>Banco de Credito del Peru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Noelia Magan Villalba</dc:creator>
  <cp:keywords/>
  <dc:description/>
  <cp:lastModifiedBy>UNSAAC</cp:lastModifiedBy>
  <cp:revision/>
  <dcterms:created xsi:type="dcterms:W3CDTF">2026-05-05T21:42:06Z</dcterms:created>
  <dcterms:modified xsi:type="dcterms:W3CDTF">2026-09-20T05:05:02Z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0x010100A69C8F383DBD9449B501E4E4BEEE1D68</vt:lpwstr>
  </property>
  <property fmtid="{D5CDD505-2E9C-101B-9397-08002B2CF9AE}" pid="3" name="WorkbookGuid">
    <vt:lpwstr>564c9210-b4ee-458c-8a23-814e25046d7b</vt:lpwstr>
  </property>
</Properties>
</file>